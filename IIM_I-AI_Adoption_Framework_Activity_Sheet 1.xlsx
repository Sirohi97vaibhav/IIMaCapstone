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lind Naik\Desktop\12-13 FDE\12-13 FDE\"/>
    </mc:Choice>
  </mc:AlternateContent>
  <xr:revisionPtr revIDLastSave="0" documentId="8_{B5612DA3-7886-4E46-B91F-CBAB80CFEF17}" xr6:coauthVersionLast="47" xr6:coauthVersionMax="47" xr10:uidLastSave="{00000000-0000-0000-0000-000000000000}"/>
  <bookViews>
    <workbookView xWindow="38280" yWindow="-3585" windowWidth="29040" windowHeight="15720" firstSheet="3" activeTab="4" xr2:uid="{73846612-3F39-4CA6-8B06-C01F5FFA9EF0}"/>
  </bookViews>
  <sheets>
    <sheet name=" Gen-Ai Assessment " sheetId="13" r:id="rId1"/>
    <sheet name="GenAI ROI Calculation Framework" sheetId="14" r:id="rId2"/>
    <sheet name="Partnership Negotiation Guide" sheetId="16" r:id="rId3"/>
    <sheet name="GenAI Ethical Decision" sheetId="15" r:id="rId4"/>
    <sheet name="Change Management Toolkit" sheetId="17" r:id="rId5"/>
    <sheet name="People Assessment" sheetId="2" r:id="rId6"/>
    <sheet name="Process Assessment" sheetId="3" r:id="rId7"/>
    <sheet name="Technology Assessment" sheetId="4" r:id="rId8"/>
    <sheet name="Responsible AI" sheetId="5" r:id="rId9"/>
    <sheet name="Use Case Analysis" sheetId="7" r:id="rId10"/>
    <sheet name="Revenue vs Cost" sheetId="12" r:id="rId11"/>
    <sheet name="Implementation Roadmap" sheetId="10" r:id="rId12"/>
    <sheet name="Decision Tree" sheetId="11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2" l="1"/>
  <c r="F13" i="12"/>
  <c r="E13" i="12"/>
  <c r="D13" i="12"/>
  <c r="C13" i="12"/>
  <c r="B13" i="12"/>
  <c r="B23" i="12" s="1"/>
  <c r="I11" i="12"/>
  <c r="H11" i="12"/>
  <c r="H10" i="12"/>
  <c r="I10" i="12" s="1"/>
  <c r="I9" i="12"/>
  <c r="H9" i="12"/>
  <c r="H8" i="12"/>
  <c r="I8" i="12" s="1"/>
  <c r="I7" i="12"/>
  <c r="H7" i="12"/>
  <c r="H6" i="12"/>
  <c r="H13" i="12" s="1"/>
  <c r="B19" i="12" l="1"/>
  <c r="B22" i="12"/>
  <c r="B18" i="12"/>
  <c r="I6" i="12"/>
  <c r="I13" i="12" s="1"/>
  <c r="B21" i="12" l="1"/>
  <c r="B20" i="12"/>
</calcChain>
</file>

<file path=xl/sharedStrings.xml><?xml version="1.0" encoding="utf-8"?>
<sst xmlns="http://schemas.openxmlformats.org/spreadsheetml/2006/main" count="2820" uniqueCount="1581">
  <si>
    <t/>
  </si>
  <si>
    <t>Gap</t>
  </si>
  <si>
    <t>People Readiness</t>
  </si>
  <si>
    <t>High</t>
  </si>
  <si>
    <t>Process Maturity</t>
  </si>
  <si>
    <t>Critical</t>
  </si>
  <si>
    <t>Metric</t>
  </si>
  <si>
    <t>Status</t>
  </si>
  <si>
    <t>Owner</t>
  </si>
  <si>
    <t>HR Lead</t>
  </si>
  <si>
    <t>Process Standardization</t>
  </si>
  <si>
    <t>50%</t>
  </si>
  <si>
    <t>COO</t>
  </si>
  <si>
    <t>IT Lead</t>
  </si>
  <si>
    <t>20%</t>
  </si>
  <si>
    <t>Legal/Ethics</t>
  </si>
  <si>
    <t>Change Manager</t>
  </si>
  <si>
    <t>Program Lead</t>
  </si>
  <si>
    <t>60%</t>
  </si>
  <si>
    <t>Data Lead</t>
  </si>
  <si>
    <t>Model Explainability (XAI)</t>
  </si>
  <si>
    <t>Risk Officer</t>
  </si>
  <si>
    <t>Model Monitoring &amp; Drift Detection</t>
  </si>
  <si>
    <t>DevOps Lead</t>
  </si>
  <si>
    <t>PEOPLE PILLAR - AI ADOPTION READINESS</t>
  </si>
  <si>
    <t>Assessment Area</t>
  </si>
  <si>
    <t>Current Level (0-5)</t>
  </si>
  <si>
    <t>Target Level (0-5)</t>
  </si>
  <si>
    <t>Actions Required</t>
  </si>
  <si>
    <t>Skills &amp; Competencies</t>
  </si>
  <si>
    <t>Upskilling programs, AI certification courses, role-based training</t>
  </si>
  <si>
    <t>Change Management Readiness</t>
  </si>
  <si>
    <t>Adoption incentive program, feedback loops, success story sharing</t>
  </si>
  <si>
    <t>Leadership Buy-in</t>
  </si>
  <si>
    <t>Executive alignment sessions, vision reinforcement, quarterly reviews</t>
  </si>
  <si>
    <t>CIO/CDO</t>
  </si>
  <si>
    <t>Talent Attraction/Retention</t>
  </si>
  <si>
    <t>Competitive compensation, career pathing, innovation roles</t>
  </si>
  <si>
    <t>Cultural Mindset</t>
  </si>
  <si>
    <t>Innovation culture initiatives, hackathons, experimentation labs</t>
  </si>
  <si>
    <t>CEO/COO</t>
  </si>
  <si>
    <t>Team Collaboration</t>
  </si>
  <si>
    <t>Cross-functional AI pods, shared OKRs, collaboration tools</t>
  </si>
  <si>
    <t>Team Leads</t>
  </si>
  <si>
    <t>Adoption Incentive Structure</t>
  </si>
  <si>
    <t>Design &amp; launch bonus/promotion criteria tied to AI adoption metrics</t>
  </si>
  <si>
    <t>HR/Change Manager</t>
  </si>
  <si>
    <t>User Adoption Metrics (WAU/CSAT)</t>
  </si>
  <si>
    <t>Implement tracking for weekly active users, CSAT &gt;4.2/5 target</t>
  </si>
  <si>
    <t>Center of Excellence Readiness</t>
  </si>
  <si>
    <t>Define CoE structure, appoint Chief AI Officer, budget allocation</t>
  </si>
  <si>
    <t>CIO</t>
  </si>
  <si>
    <t>PEOPLE READINESS SCORE</t>
  </si>
  <si>
    <t>IMPROVEMENT PRIORITY: CRITICAL</t>
  </si>
  <si>
    <t>ACTION PLAN - PEOPLE</t>
  </si>
  <si>
    <t>Initiative</t>
  </si>
  <si>
    <t>Timeline</t>
  </si>
  <si>
    <t>Budget ($K)</t>
  </si>
  <si>
    <t>Expected Outcome</t>
  </si>
  <si>
    <t>AI Literacy Program (Foundation)</t>
  </si>
  <si>
    <t>Q1 2026</t>
  </si>
  <si>
    <t>80% staff AI-aware, 3-tier learning paths (Awareness/Intermediate/Expert)</t>
  </si>
  <si>
    <t>In Planning</t>
  </si>
  <si>
    <t>AI Champions Network Launch</t>
  </si>
  <si>
    <t>20-30 influencers identified per department, monthly success sharing</t>
  </si>
  <si>
    <t>Leadership Alignment Workshop</t>
  </si>
  <si>
    <t>100% exec alignment on vision, quarterly reviews scheduled</t>
  </si>
  <si>
    <t>Scheduled</t>
  </si>
  <si>
    <t>Skill Assessment &amp; Gap Analysis</t>
  </si>
  <si>
    <t>Clear skill matrix, personalized development plans for 100 target roles</t>
  </si>
  <si>
    <t>In Progress</t>
  </si>
  <si>
    <t>Adoption Incentive Program Design</t>
  </si>
  <si>
    <t>Bonus/promotion criteria, recognition program, monthly celebration events</t>
  </si>
  <si>
    <t>Center of Excellence Charter</t>
  </si>
  <si>
    <t>CoE structure approved, Chief AI Officer appointed, governance defined</t>
  </si>
  <si>
    <t>Planned</t>
  </si>
  <si>
    <t>Mentoring &amp; Coaching Program</t>
  </si>
  <si>
    <t>Q2 2026</t>
  </si>
  <si>
    <t>50+ trained mentors, peer learning groups, knowledge sharing platform</t>
  </si>
  <si>
    <t>Diversity &amp; Inclusion in AI</t>
  </si>
  <si>
    <t>Inclusive hiring plan, D&amp;I targets, diverse AI team composition</t>
  </si>
  <si>
    <t>Continuous Learning Labs</t>
  </si>
  <si>
    <t>Q2-Q3 2026</t>
  </si>
  <si>
    <t>Monthly workshops on emerging AI techniques, innovation labs, R&amp;D budget</t>
  </si>
  <si>
    <t>USER ADOPTION TARGETS</t>
  </si>
  <si>
    <t>Q1 Target</t>
  </si>
  <si>
    <t>Q2 Target</t>
  </si>
  <si>
    <t>Q3 Target</t>
  </si>
  <si>
    <t>Q4 Target</t>
  </si>
  <si>
    <t>% Staff AI Literate</t>
  </si>
  <si>
    <t>40%</t>
  </si>
  <si>
    <t>80%</t>
  </si>
  <si>
    <t>90%</t>
  </si>
  <si>
    <t>Weekly Active Users (WAU) of AI Tools</t>
  </si>
  <si>
    <t>75%</t>
  </si>
  <si>
    <t>User Satisfaction (CSAT)</t>
  </si>
  <si>
    <t>3.5/5</t>
  </si>
  <si>
    <t>3.8/5</t>
  </si>
  <si>
    <t>4.2/5</t>
  </si>
  <si>
    <t>4.5/5</t>
  </si>
  <si>
    <t>AI Skills Certification Completion</t>
  </si>
  <si>
    <t>Leadership Alignment Score</t>
  </si>
  <si>
    <t>85%</t>
  </si>
  <si>
    <t>95%</t>
  </si>
  <si>
    <t>100%</t>
  </si>
  <si>
    <t>Employee Engagement on AI Initiatives</t>
  </si>
  <si>
    <t>6.8/10</t>
  </si>
  <si>
    <t>7.2/10</t>
  </si>
  <si>
    <t>7.5/10</t>
  </si>
  <si>
    <t>8.0/10</t>
  </si>
  <si>
    <t>CoE Utilization (# use cases supported)</t>
  </si>
  <si>
    <t>PROCESS PILLAR - AI ADOPTION READINESS</t>
  </si>
  <si>
    <t>Decision-Making Frameworks</t>
  </si>
  <si>
    <t>Define AI decision tree, governance model, approval workflows</t>
  </si>
  <si>
    <t>Data Governance</t>
  </si>
  <si>
    <t>Data strategy, quality standards, ownership model, stewardship roles</t>
  </si>
  <si>
    <t>CDO</t>
  </si>
  <si>
    <t>Risk Management</t>
  </si>
  <si>
    <t>Risk assessment, mitigation framework, risk register, escalation paths</t>
  </si>
  <si>
    <t>Document core processes, create playbooks, standardized templates</t>
  </si>
  <si>
    <t>Process Lead</t>
  </si>
  <si>
    <t>Governance Structure &amp; RACI</t>
  </si>
  <si>
    <t>AI governance committee, clear RACI matrix, decision authority</t>
  </si>
  <si>
    <t>Vendor Management</t>
  </si>
  <si>
    <t>Partner ecosystem, SLA definitions, vendor risk assessments</t>
  </si>
  <si>
    <t>Procurement</t>
  </si>
  <si>
    <t>Compliance &amp; Ethics</t>
  </si>
  <si>
    <t>Ethics board, responsible AI framework, regulatory compliance plan</t>
  </si>
  <si>
    <t>Legal/Risk</t>
  </si>
  <si>
    <t>Change Management Processes</t>
  </si>
  <si>
    <t>Adoption incentives, feedback loops, communication cadence, issue tracking</t>
  </si>
  <si>
    <t>Responsible AI Governance Gates</t>
  </si>
  <si>
    <t>Ethics review process, bias assessment, model card requirements, audit trails</t>
  </si>
  <si>
    <t>PROCESS MATURITY SCORE</t>
  </si>
  <si>
    <t>ACTION PLAN - PROCESS</t>
  </si>
  <si>
    <t>AI Decision Tree &amp; Approval Framework</t>
  </si>
  <si>
    <t>Framework documented, scoring model defined, quick-reference guide</t>
  </si>
  <si>
    <t>Data Governance Framework Implementation</t>
  </si>
  <si>
    <t>Q1-Q2 2026</t>
  </si>
  <si>
    <t>Data quality &gt;95%, ownership assigned, stewardship roles active</t>
  </si>
  <si>
    <t>AI Ethics Board &amp; Responsible AI Charter</t>
  </si>
  <si>
    <t>Board operational, ethics principles defined, review process live</t>
  </si>
  <si>
    <t>Process Documentation &amp; Playbooks</t>
  </si>
  <si>
    <t>All core processes mapped, playbooks created, team trained</t>
  </si>
  <si>
    <t>Risk Assessment &amp; Mitigation Plan</t>
  </si>
  <si>
    <t>Risk register ready, mitigation strategies assigned, quarterly reviews</t>
  </si>
  <si>
    <t>Governance Committee Structure &amp; Cadence</t>
  </si>
  <si>
    <t>Steering committee monthly, CoE weekly, defined escalation paths</t>
  </si>
  <si>
    <t>Change Management Process &amp; Cadence</t>
  </si>
  <si>
    <t>Weekly comms, monthly town halls, feedback loop via pulse surveys</t>
  </si>
  <si>
    <t>Responsible AI Assessment Tool</t>
  </si>
  <si>
    <t>Bias &amp; fairness checklist, explainability requirements, compliance audit template</t>
  </si>
  <si>
    <t>Model Governance &amp; Approval Workflows</t>
  </si>
  <si>
    <t>Model card template, ethics review gate, production approval process</t>
  </si>
  <si>
    <t>GOVERNANCE METRICS &amp; TARGETS</t>
  </si>
  <si>
    <t>Process Documentation %</t>
  </si>
  <si>
    <t>Decision Cycle Time (Days)</t>
  </si>
  <si>
    <t>Data Quality Score</t>
  </si>
  <si>
    <t>98%</t>
  </si>
  <si>
    <t>Governance Compliance %</t>
  </si>
  <si>
    <t>70%</t>
  </si>
  <si>
    <t>Risk Issues Closed</t>
  </si>
  <si>
    <t>Models Approved via Ethics Review %</t>
  </si>
  <si>
    <t>0%</t>
  </si>
  <si>
    <t>Change Management Adoption %</t>
  </si>
  <si>
    <t>65%</t>
  </si>
  <si>
    <t>Steering Committee Attendance %</t>
  </si>
  <si>
    <t>TECHNOLOGY PILLAR - AI ADOPTION READINESS</t>
  </si>
  <si>
    <t>Infrastructure &amp; Cloud</t>
  </si>
  <si>
    <t>Cloud migration, scalable infrastructure, multi-region capability</t>
  </si>
  <si>
    <t>Data &amp; Analytics Capability</t>
  </si>
  <si>
    <t>Data warehouse, analytics platform, real-time streaming</t>
  </si>
  <si>
    <t>AI/ML Tools &amp; Platforms</t>
  </si>
  <si>
    <t>ML platform selection, MLOps setup, model registry</t>
  </si>
  <si>
    <t>MLOps &amp; Deployment Pipeline</t>
  </si>
  <si>
    <t>CI/CD for ML, automated testing, model versioning, rollback capability</t>
  </si>
  <si>
    <t>Integration &amp; APIs</t>
  </si>
  <si>
    <t>API-first architecture, system integration, microservices</t>
  </si>
  <si>
    <t>Tech Lead</t>
  </si>
  <si>
    <t>Security &amp; Data Privacy</t>
  </si>
  <si>
    <t>Security hardening, encryption, GDPR, access controls, audit logs</t>
  </si>
  <si>
    <t>Security Lead</t>
  </si>
  <si>
    <t>Monitoring &amp; Observability</t>
  </si>
  <si>
    <t>Logging, monitoring, alerting, drift detection, performance tracking</t>
  </si>
  <si>
    <t>Automated drift detection, performance degradation alerts, retraining triggers</t>
  </si>
  <si>
    <t>Vendor Technology Stack</t>
  </si>
  <si>
    <t>Tool evaluation, licensing, partnerships, multi-vendor strategy</t>
  </si>
  <si>
    <t>TECHNOLOGY READINESS SCORE</t>
  </si>
  <si>
    <t>ACTION PLAN - TECHNOLOGY</t>
  </si>
  <si>
    <t>Cloud Infrastructure Setup (AWS/GCP/Azure)</t>
  </si>
  <si>
    <t>Scalable cloud environment live, multi-region ready, 99.9% uptime</t>
  </si>
  <si>
    <t>Data Warehouse Implementation (Snowflake/BigQuery)</t>
  </si>
  <si>
    <t>Unified data platform, real-time queries, integration with 10+ data sources</t>
  </si>
  <si>
    <t>ML Platform &amp; MLOps Setup (Databricks/SageMaker)</t>
  </si>
  <si>
    <t>Production-ready ML environment, model registry, automated retraining</t>
  </si>
  <si>
    <t>Security &amp; Compliance Audit &amp; Hardening</t>
  </si>
  <si>
    <t>Full compliance plan, encryption enabled, access controls implemented</t>
  </si>
  <si>
    <t>Monitoring, Logging &amp; Alerting Systems</t>
  </si>
  <si>
    <t>Full observability stack, real-time dashboards, incident response automation</t>
  </si>
  <si>
    <t>Model Drift &amp; Performance Monitoring</t>
  </si>
  <si>
    <t>Automated drift detection, fairness monitoring, alerts for performance degradation</t>
  </si>
  <si>
    <t>API &amp; Integration Layer Development</t>
  </si>
  <si>
    <t>API-first architecture, 10+ system integrations, real-time data feeds</t>
  </si>
  <si>
    <t>Disaster Recovery &amp; Business Continuity</t>
  </si>
  <si>
    <t>Backup systems live, RTO &lt;4 hours, RPO &lt;1 hour, annual DR drills</t>
  </si>
  <si>
    <t>Multi-Vendor &amp; Lock-in Risk Mitigation</t>
  </si>
  <si>
    <t>Multi-vendor strategy approved, open standards adopted, contract reviewed</t>
  </si>
  <si>
    <t>TECHNOLOGY METRICS &amp; TARGETS</t>
  </si>
  <si>
    <t>Infrastructure Readiness %</t>
  </si>
  <si>
    <t>55%</t>
  </si>
  <si>
    <t>Data Platform Maturity (0-5 scale)</t>
  </si>
  <si>
    <t>ML Model Accuracy Baseline</t>
  </si>
  <si>
    <t>78%</t>
  </si>
  <si>
    <t>System Uptime %</t>
  </si>
  <si>
    <t>97%</t>
  </si>
  <si>
    <t>98.5%</t>
  </si>
  <si>
    <t>99%</t>
  </si>
  <si>
    <t>API Integration Coverage %</t>
  </si>
  <si>
    <t>Model Drift Detection Coverage %</t>
  </si>
  <si>
    <t>30%</t>
  </si>
  <si>
    <t>Security Audit Compliance %</t>
  </si>
  <si>
    <t>MLOps Pipeline Automation %</t>
  </si>
  <si>
    <t>10%</t>
  </si>
  <si>
    <t>RESPONSIBLE AI GOVERNANCE PILLAR</t>
  </si>
  <si>
    <t>Bias Detection &amp; Fairness Framework</t>
  </si>
  <si>
    <t>Fairness testing methodology, bias assessment tool, remediation process</t>
  </si>
  <si>
    <t>LIME/SHAP implementation, model card standards, decision transparency</t>
  </si>
  <si>
    <t>Ethical AI Governance Board</t>
  </si>
  <si>
    <t>Board charter, ethics principles, quarterly reviews, authority defined</t>
  </si>
  <si>
    <t>Legal/CEO</t>
  </si>
  <si>
    <t>Hallucination &amp; Drift Monitoring</t>
  </si>
  <si>
    <t>Automated drift detection, output validation, retraining triggers</t>
  </si>
  <si>
    <t>DevOps/Data Lead</t>
  </si>
  <si>
    <t>Regulatory Compliance Framework</t>
  </si>
  <si>
    <t>EU AI Act mapping, India AI rules, industry-specific (BFSI/Healthcare)</t>
  </si>
  <si>
    <t>Privacy &amp; Data Protection</t>
  </si>
  <si>
    <t>GDPR/DPA compliance, consent management, data minimization, anonymization</t>
  </si>
  <si>
    <t>Legal/Security</t>
  </si>
  <si>
    <t>Model Documentation &amp; Card Standards</t>
  </si>
  <si>
    <t>Model card template, lineage tracking, training data documentation</t>
  </si>
  <si>
    <t>Third-Party Vendor Risk Assessment</t>
  </si>
  <si>
    <t>Vendor due diligence, contract review, responsible AI commitments</t>
  </si>
  <si>
    <t>Audit Trail &amp; Accountability</t>
  </si>
  <si>
    <t>Model versioning, decision logging, accountability matrix, incident response</t>
  </si>
  <si>
    <t>RESPONSIBLE AI READINESS SCORE</t>
  </si>
  <si>
    <t>IMPROVEMENT PRIORITY: CRITICAL - FOUNDATION</t>
  </si>
  <si>
    <t>ACTION PLAN - RESPONSIBLE AI</t>
  </si>
  <si>
    <t>Ethical AI Governance Board Formation</t>
  </si>
  <si>
    <t>Board chartered, 7-9 members appointed, meeting cadence defined, authority clear</t>
  </si>
  <si>
    <t>Bias &amp; Fairness Assessment Framework</t>
  </si>
  <si>
    <t>Fairness testing methodology documented, tools selected, team trained</t>
  </si>
  <si>
    <t>Model Explainability (XAI) Toolkit Setup</t>
  </si>
  <si>
    <t>LIME/SHAP tools deployed, interpretation guidelines, model card template ready</t>
  </si>
  <si>
    <t>Responsible AI Policy &amp; Principles</t>
  </si>
  <si>
    <t>Policy document approved, 5-7 core principles defined, team training scheduled</t>
  </si>
  <si>
    <t>Regulatory Compliance Mapping</t>
  </si>
  <si>
    <t>EU AI Act gap analysis, India AI rules assessment, action plan</t>
  </si>
  <si>
    <t>Privacy Impact Assessment (PIA) Process</t>
  </si>
  <si>
    <t>PIA template, approval workflow, consent management system implemented</t>
  </si>
  <si>
    <t>Model Documentation &amp; Governance</t>
  </si>
  <si>
    <t>Model card standard, training data doc, lineage tracking tool live</t>
  </si>
  <si>
    <t>Drift Detection &amp; Monitoring System</t>
  </si>
  <si>
    <t>Automated drift detection live, fairness monitoring dashboard, alert system</t>
  </si>
  <si>
    <t>Third-Party Vendor Audit Program</t>
  </si>
  <si>
    <t>Vendor assessment questionnaire, due diligence completed for 5+ partners</t>
  </si>
  <si>
    <t>Incident Response &amp; Escalation Plan</t>
  </si>
  <si>
    <t>Incident playbook, escalation paths, communication protocol, annual drills</t>
  </si>
  <si>
    <t>RESPONSIBLE AI METRICS &amp; TARGETS</t>
  </si>
  <si>
    <t>% Models Reviewed by Ethics Board</t>
  </si>
  <si>
    <t>Bias Test Coverage (% of models)</t>
  </si>
  <si>
    <t>Fairness Metrics Tracked (%)</t>
  </si>
  <si>
    <t>Model Explainability Implementation %</t>
  </si>
  <si>
    <t>Regulatory Compliance Score</t>
  </si>
  <si>
    <t>Drift Detection Coverage %</t>
  </si>
  <si>
    <t>DevOps/Data</t>
  </si>
  <si>
    <t>Models with Documentation (Cards) %</t>
  </si>
  <si>
    <t>Ethical AI Training Completion %</t>
  </si>
  <si>
    <t>HR/Legal</t>
  </si>
  <si>
    <t>AI USE CASE EVALUATION &amp; PRIORITIZATION</t>
  </si>
  <si>
    <t>Use Case ID</t>
  </si>
  <si>
    <t>Description</t>
  </si>
  <si>
    <t>Department</t>
  </si>
  <si>
    <t>Tech Readiness</t>
  </si>
  <si>
    <t>Responsible AI Risk</t>
  </si>
  <si>
    <t>Expected ROI</t>
  </si>
  <si>
    <t>Breakeven (Weeks)</t>
  </si>
  <si>
    <t>Portfolio Risk</t>
  </si>
  <si>
    <t>Overall Priority</t>
  </si>
  <si>
    <t>Budget Allocation ($K)</t>
  </si>
  <si>
    <t>UC-001</t>
  </si>
  <si>
    <t>Customer Service Chatbot</t>
  </si>
  <si>
    <t>Customer Service</t>
  </si>
  <si>
    <t>Medium</t>
  </si>
  <si>
    <t>2.5x</t>
  </si>
  <si>
    <t>TBD</t>
  </si>
  <si>
    <t>Ready to Start</t>
  </si>
  <si>
    <t>UC-002</t>
  </si>
  <si>
    <t>Predictive Analytics - Demand</t>
  </si>
  <si>
    <t>Operations</t>
  </si>
  <si>
    <t>Low</t>
  </si>
  <si>
    <t>3.0x</t>
  </si>
  <si>
    <t>Requires Foundation</t>
  </si>
  <si>
    <t>UC-003</t>
  </si>
  <si>
    <t>Fraud Detection System</t>
  </si>
  <si>
    <t>Finance</t>
  </si>
  <si>
    <t>4.0x</t>
  </si>
  <si>
    <t>UC-004</t>
  </si>
  <si>
    <t>HR Talent Analytics</t>
  </si>
  <si>
    <t>HR</t>
  </si>
  <si>
    <t>High (Privacy/Bias)</t>
  </si>
  <si>
    <t>1.8x</t>
  </si>
  <si>
    <t>UC-005</t>
  </si>
  <si>
    <t>Sales Forecasting</t>
  </si>
  <si>
    <t>Sales</t>
  </si>
  <si>
    <t>2.0x</t>
  </si>
  <si>
    <t>UC-006</t>
  </si>
  <si>
    <t>Supply Chain Optimization</t>
  </si>
  <si>
    <t>Supply Chain</t>
  </si>
  <si>
    <t>3.5x</t>
  </si>
  <si>
    <t>UC-007</t>
  </si>
  <si>
    <t>Document Processing &amp; RPA</t>
  </si>
  <si>
    <t>2.2x</t>
  </si>
  <si>
    <t>UC-008</t>
  </si>
  <si>
    <t>Product Recommendation Engine</t>
  </si>
  <si>
    <t>Marketing</t>
  </si>
  <si>
    <t>High (Fairness)</t>
  </si>
  <si>
    <t>2.8x</t>
  </si>
  <si>
    <t>UC-009</t>
  </si>
  <si>
    <t>Pricing Optimization</t>
  </si>
  <si>
    <t>Revenue</t>
  </si>
  <si>
    <t>3.2x</t>
  </si>
  <si>
    <t>UC-010</t>
  </si>
  <si>
    <t>Maintenance Prediction</t>
  </si>
  <si>
    <t>UC-011</t>
  </si>
  <si>
    <t>Employee Experience Analytics</t>
  </si>
  <si>
    <t>1.5x</t>
  </si>
  <si>
    <t>UC-012</t>
  </si>
  <si>
    <t>Market Intelligence &amp; News Analysis</t>
  </si>
  <si>
    <t>Strategy</t>
  </si>
  <si>
    <t>QUICK WINS (Ready Now - Start Q1 2026)</t>
  </si>
  <si>
    <t>Use Case</t>
  </si>
  <si>
    <t>Key Success Criteria</t>
  </si>
  <si>
    <t>SVP CS</t>
  </si>
  <si>
    <t>20% cost reduction, 4.0+ CSAT</t>
  </si>
  <si>
    <t>VP Finance</t>
  </si>
  <si>
    <t>30% fraud detection, &lt;1% false positive</t>
  </si>
  <si>
    <t>VP Sales</t>
  </si>
  <si>
    <t>15% accuracy improvement, adoption &gt;60%</t>
  </si>
  <si>
    <t>VP Ops</t>
  </si>
  <si>
    <t>25% time savings, 90% accuracy</t>
  </si>
  <si>
    <t>TOTAL Q1-Q2 INVESTMENT</t>
  </si>
  <si>
    <t>$185</t>
  </si>
  <si>
    <t>Expected Combined ROI: 2.7x (12-month horizon)</t>
  </si>
  <si>
    <t>SCALE CANDIDATES (Q3-Q4 2026 based on Pilot Results)</t>
  </si>
  <si>
    <t>Trigger Conditions for Scale</t>
  </si>
  <si>
    <t>Scale Timeline</t>
  </si>
  <si>
    <t>Scale Budget ($K)</t>
  </si>
  <si>
    <t>Full-Scale ROI</t>
  </si>
  <si>
    <t>Pilot ROI &gt;25%, Adoption &gt;50%, Data quality &gt;95%</t>
  </si>
  <si>
    <t>Q3 2026</t>
  </si>
  <si>
    <t>Pilot cost savings &gt;$100K, Data governance live, Risk &lt;Medium</t>
  </si>
  <si>
    <t>Q4 2026</t>
  </si>
  <si>
    <t>Pilot engagement &gt;20%, Fairness audit passed, Privacy OK</t>
  </si>
  <si>
    <t>Pilot revenue impact &gt;$50K, Governance gates passed</t>
  </si>
  <si>
    <t>CANDIDATES FOR HALT (Not Ready - Build Foundation First)</t>
  </si>
  <si>
    <t>Key Blocker</t>
  </si>
  <si>
    <t>Mitigation Timeline</t>
  </si>
  <si>
    <t>Recommended Action</t>
  </si>
  <si>
    <t>High bias/privacy risk, poor process maturity</t>
  </si>
  <si>
    <t>Defer to Q4; build data governance &amp; bias framework first</t>
  </si>
  <si>
    <t>Privacy concerns, leadership not aligned, low tech readiness</t>
  </si>
  <si>
    <t>Defer to 2027; needs GDPR/consent structure &amp; enhanced privacy framework</t>
  </si>
  <si>
    <t>Low readiness across all pillars, integration complexity</t>
  </si>
  <si>
    <t>Defer; position as Q4 initiative only if infrastructure ready</t>
  </si>
  <si>
    <t>PORTFOLIO REBALANCING (Post-Q1 Learnings)</t>
  </si>
  <si>
    <t>Review Trigger</t>
  </si>
  <si>
    <t>When</t>
  </si>
  <si>
    <t>Action</t>
  </si>
  <si>
    <t>Use case underperforming</t>
  </si>
  <si>
    <t>Monthly</t>
  </si>
  <si>
    <t>Decision to optimize, pause, or halt</t>
  </si>
  <si>
    <t>Program Lead + Steering Committee</t>
  </si>
  <si>
    <t>Priority shift from business</t>
  </si>
  <si>
    <t>Quarterly</t>
  </si>
  <si>
    <t>Rerank use cases, reallocate budget</t>
  </si>
  <si>
    <t>CFO + Business Unit Heads</t>
  </si>
  <si>
    <t>Tech/data blocker emerges</t>
  </si>
  <si>
    <t>Ongoing</t>
  </si>
  <si>
    <t>Escalate to infrastructure team, adjust timeline</t>
  </si>
  <si>
    <t>Program Lead + Tech Lead</t>
  </si>
  <si>
    <t>Responsible AI flag</t>
  </si>
  <si>
    <t>Per model review</t>
  </si>
  <si>
    <t>Halt deployment, address bias/fairness issues</t>
  </si>
  <si>
    <t>Legal/Ethics + Data Lead</t>
  </si>
  <si>
    <t>&gt;85%</t>
  </si>
  <si>
    <t>Responsible AI Compliance</t>
  </si>
  <si>
    <t>AI ADOPTION IMPLEMENTATION ROADMAP - ENHANCED</t>
  </si>
  <si>
    <t>PHASE</t>
  </si>
  <si>
    <t>QUARTER</t>
  </si>
  <si>
    <t>PEOPLE INITIATIVES</t>
  </si>
  <si>
    <t>PROCESS INITIATIVES</t>
  </si>
  <si>
    <t>TECHNOLOGY INITIATIVES</t>
  </si>
  <si>
    <t>RESPONSIBLE AI INITIATIVES</t>
  </si>
  <si>
    <t>CHANGE MGMT INITIATIVES</t>
  </si>
  <si>
    <t>BUDGET ($K)</t>
  </si>
  <si>
    <t>KEY MILESTONES</t>
  </si>
  <si>
    <t>Foundation</t>
  </si>
  <si>
    <t>Awareness training, skill assessment, leadership alignment, CoE charter planning</t>
  </si>
  <si>
    <t>Decision tree development, governance setup, risk framework, ethics board formation</t>
  </si>
  <si>
    <t>Cloud setup, security audit, infrastructure planning, monitoring design</t>
  </si>
  <si>
    <t>Fairness/XAI tools selected, ethics policy drafted, responsible AI principles defined</t>
  </si>
  <si>
    <t>Champions identified, incentive program designed, comms cadence launched, pulse surveys begin</t>
  </si>
  <si>
    <t>Committees formed, frameworks approved, ethics board operational</t>
  </si>
  <si>
    <t>Build</t>
  </si>
  <si>
    <t>Upskilling programs, mentoring setup, culture initiatives, CoE hiring, 3-tier training paths</t>
  </si>
  <si>
    <t>Process documentation, data governance implementation, ethics review workflow</t>
  </si>
  <si>
    <t>Data warehouse design, ML platform selection, MLOps setup, drift detection designed</t>
  </si>
  <si>
    <t>Bias testing methodology documented, XAI tools deployed, compliance mapping completed, PIA process live</t>
  </si>
  <si>
    <t>Champions onboarded, adoption metrics dashboard live, town halls monthly, incentive system active</t>
  </si>
  <si>
    <t>Training completed, platforms selected, 30% staff certified, ethics board 4+ decisions</t>
  </si>
  <si>
    <t>Pilot</t>
  </si>
  <si>
    <t>Team training on tools, change management execution, mentoring at scale, engagement tracking</t>
  </si>
  <si>
    <t>Implement governance policies, ethics review process live, data quality ops active, continuous improvement</t>
  </si>
  <si>
    <t>Deploy selected platforms, integrate systems, set up monitoring, drift detection live, model cards implemented</t>
  </si>
  <si>
    <t>70% of models tested for fairness, explainability integrated in 3+ use cases, audit trail active, zero violations</t>
  </si>
  <si>
    <t>User adoption 60%, CSAT 4.2+, monthly success story series, ambassador network 50+ active, feedback loops closing</t>
  </si>
  <si>
    <t>Quick wins launched, first results visible, 2-4 models in production, ROI metrics tracked</t>
  </si>
  <si>
    <t>Scale</t>
  </si>
  <si>
    <t>Expand programs, build center of excellence fully, hire AI talent, knowledge sharing platform live, 90% adoption</t>
  </si>
  <si>
    <t>Scale operations, optimize processes continuously, automated governance where possible, process time &lt;8 days</t>
  </si>
  <si>
    <t>Scale infrastructure 3x, expand ML capabilities, production deployment at scale, cost optimization, 99%+ uptime</t>
  </si>
  <si>
    <t>100% model coverage for drift/fairness, regulatory compliance achieved, continuous monitoring, zero violations</t>
  </si>
  <si>
    <t>75%+ company-wide adoption, NPS &gt;65, innovation culture embedded, 100+ champions, user feedback drives roadmap</t>
  </si>
  <si>
    <t>8+ use cases live, ROI 1.8x+, revenue impact $250K, cost savings $300K, competitive advantage clear</t>
  </si>
  <si>
    <t>Optimize</t>
  </si>
  <si>
    <t>Continuous learning, knowledge sharing, innovation labs, emerging tech exploration, AI embedded in all roles</t>
  </si>
  <si>
    <t>Continuous improvement, process optimization, governance maturity (self-service approvals), industry benchmarking</t>
  </si>
  <si>
    <t>Advanced analytics, AI-driven insights, full automation, cost per prediction optimized, cutting-edge infrastructure</t>
  </si>
  <si>
    <t>Advanced responsible AI (federated learning, synthetic data), continuous bias monitoring, regulatory leadership, thought leadership</t>
  </si>
  <si>
    <t>AI as business-as-usual, internal marketplace for models, customer-facing AI products, startup partnerships</t>
  </si>
  <si>
    <t>AI embedded in operations, competitive advantage sustained, thought leadership position, new business models emerging</t>
  </si>
  <si>
    <t>TOTAL INVESTMENT 2026</t>
  </si>
  <si>
    <t>$850</t>
  </si>
  <si>
    <t>EXPECTED ROI 2026-2027</t>
  </si>
  <si>
    <t>Based on use case analysis and conservative ROI projections</t>
  </si>
  <si>
    <t>CRITICAL SUCCESS FACTORS</t>
  </si>
  <si>
    <t>Factor</t>
  </si>
  <si>
    <t>Q1 Completion</t>
  </si>
  <si>
    <t>Q2 Completion</t>
  </si>
  <si>
    <t>Q3 Completion</t>
  </si>
  <si>
    <t>Q4 Completion</t>
  </si>
  <si>
    <t>Executive Sponsorship</t>
  </si>
  <si>
    <t>100% aligned</t>
  </si>
  <si>
    <t>Active leadership</t>
  </si>
  <si>
    <t>Weekly reviews</t>
  </si>
  <si>
    <t>Strategic ownership</t>
  </si>
  <si>
    <t>Governance Effectiveness</t>
  </si>
  <si>
    <t>Committee operational</t>
  </si>
  <si>
    <t>4+ decisions made</t>
  </si>
  <si>
    <t>Escalation process tested</t>
  </si>
  <si>
    <t>Fully autonomous</t>
  </si>
  <si>
    <t>Data Quality</t>
  </si>
  <si>
    <t>&gt;75%</t>
  </si>
  <si>
    <t>&gt;95%</t>
  </si>
  <si>
    <t>98%+</t>
  </si>
  <si>
    <t>Skill Development</t>
  </si>
  <si>
    <t>30% in training</t>
  </si>
  <si>
    <t>50% certified</t>
  </si>
  <si>
    <t>75% certified</t>
  </si>
  <si>
    <t>90% certified</t>
  </si>
  <si>
    <t>Board formed, policy drafted</t>
  </si>
  <si>
    <t>Fairness testing &gt;20%</t>
  </si>
  <si>
    <t>70% models reviewed</t>
  </si>
  <si>
    <t>100% models compliant</t>
  </si>
  <si>
    <t>Use Case Momentum</t>
  </si>
  <si>
    <t>2 quick wins approved</t>
  </si>
  <si>
    <t>Models 50% complete</t>
  </si>
  <si>
    <t>4 models in production</t>
  </si>
  <si>
    <t>8 models live</t>
  </si>
  <si>
    <t>Adoption &amp; Change</t>
  </si>
  <si>
    <t>40% awareness</t>
  </si>
  <si>
    <t>40% adoption</t>
  </si>
  <si>
    <t>60% adoption</t>
  </si>
  <si>
    <t>75% adoption</t>
  </si>
  <si>
    <t>Infrastructure Readiness</t>
  </si>
  <si>
    <t>Cloud approved</t>
  </si>
  <si>
    <t>DW designed</t>
  </si>
  <si>
    <t>Platforms live</t>
  </si>
  <si>
    <t>Scaled 3x</t>
  </si>
  <si>
    <t>AI ADOPTION DECISION TREE - EVALUATION CRITERIA</t>
  </si>
  <si>
    <t>DECISION QUESTION</t>
  </si>
  <si>
    <t>SCORING CRITERIA</t>
  </si>
  <si>
    <t>WEIGHT (%)</t>
  </si>
  <si>
    <t>SCORE (0-5)</t>
  </si>
  <si>
    <t>WEIGHTED SCORE</t>
  </si>
  <si>
    <t>STRATEGIC ALIGNMENT (20%)</t>
  </si>
  <si>
    <t>Does the AI initiative align with business goals?</t>
  </si>
  <si>
    <t>Strong alignment=5, Moderate=3, Low=1</t>
  </si>
  <si>
    <t>PEOPLE READINESS (15%)</t>
  </si>
  <si>
    <t>Do we have skills and change management capability?</t>
  </si>
  <si>
    <t>Full capability=5, Partial=3, None=1</t>
  </si>
  <si>
    <t>Leadership support and buy-in present?</t>
  </si>
  <si>
    <t>Strong support=5, Moderate=3, Low=1</t>
  </si>
  <si>
    <t>PROCESS MATURITY (20%)</t>
  </si>
  <si>
    <t>Are relevant processes documented and optimized?</t>
  </si>
  <si>
    <t>Documented &amp; optimized=5, Partial=3, Ad-hoc=1</t>
  </si>
  <si>
    <t>Data governance and quality standards exist?</t>
  </si>
  <si>
    <t>Comprehensive=5, Partial=3, None=1</t>
  </si>
  <si>
    <t>Do we have risk &amp; compliance framework?</t>
  </si>
  <si>
    <t>Complete framework=5, Partial=3, None=1</t>
  </si>
  <si>
    <t>TECHNOLOGY INFRASTRUCTURE (25%)</t>
  </si>
  <si>
    <t>Is cloud infrastructure and scalability available?</t>
  </si>
  <si>
    <t>Fully ready=5, Partial=3, Not ready=1</t>
  </si>
  <si>
    <t>Do we have data &amp; analytics platform?</t>
  </si>
  <si>
    <t>Advanced platform=5, Basic=3, None=1</t>
  </si>
  <si>
    <t>ML tools and MLOps capability in place?</t>
  </si>
  <si>
    <t>RESPONSIBLE AI READINESS (15%) - NEW</t>
  </si>
  <si>
    <t>Bias detection &amp; fairness assessment in place?</t>
  </si>
  <si>
    <t>Comprehensive=5, Basic=3, None=1</t>
  </si>
  <si>
    <t>Ethics governance framework established?</t>
  </si>
  <si>
    <t>Formal board + processes=5, Informal=3, None=1</t>
  </si>
  <si>
    <t>Privacy &amp; compliance risk mitigated?</t>
  </si>
  <si>
    <t>Full assessment done=5, Partial=3, None=1</t>
  </si>
  <si>
    <t>BUSINESS CASE (20%)</t>
  </si>
  <si>
    <t>Is there clear ROI and business value defined?</t>
  </si>
  <si>
    <t>Clear ROI &gt;2x=5, &gt;1.5x=3, &lt;1.5x=1</t>
  </si>
  <si>
    <t>Are resources and budget allocated?</t>
  </si>
  <si>
    <t>Fully funded=5, Partial=3, Not allocated=1</t>
  </si>
  <si>
    <t>Is there vendor/partner ecosystem support?</t>
  </si>
  <si>
    <t>Strong partners=5, Few partners=3, None=1</t>
  </si>
  <si>
    <t>CHANGE MANAGEMENT READINESS (10%) - NEW</t>
  </si>
  <si>
    <t>Adoption incentive program designed?</t>
  </si>
  <si>
    <t>Yes, linked to bonus/promotion=5, Basic=3, No=1</t>
  </si>
  <si>
    <t>User adoption tracking in place (WAU/CSAT)?</t>
  </si>
  <si>
    <t>Comprehensive dashboard=5, Manual tracking=3, None=1</t>
  </si>
  <si>
    <t>OVERALL ADOPTION READINESS SCORE</t>
  </si>
  <si>
    <t>CALCULATE SUM</t>
  </si>
  <si>
    <t>SCORING GUIDE</t>
  </si>
  <si>
    <t>80-100</t>
  </si>
  <si>
    <t>READY FOR IMMEDIATE IMPLEMENTATION</t>
  </si>
  <si>
    <t>Green Light - Proceed full speed</t>
  </si>
  <si>
    <t>65-79</t>
  </si>
  <si>
    <t>READY WITH MINOR PREPARATORY STEPS</t>
  </si>
  <si>
    <t>Yellow Light - Address 2-3 gaps, then proceed</t>
  </si>
  <si>
    <t>50-64</t>
  </si>
  <si>
    <t>REQUIRES SIGNIFICANT PREPARATION</t>
  </si>
  <si>
    <t>Red Light - Delay 4-6 weeks; address major gaps</t>
  </si>
  <si>
    <t>Below 50</t>
  </si>
  <si>
    <t>NOT READY - BUILD FOUNDATION FIRST</t>
  </si>
  <si>
    <t>Stop - Halt; redesign or defer 6+ months</t>
  </si>
  <si>
    <t>DECISION AUTHORITY &amp; ESCALATION</t>
  </si>
  <si>
    <t>Score Range</t>
  </si>
  <si>
    <t>Decision Authority</t>
  </si>
  <si>
    <t>Approval Level</t>
  </si>
  <si>
    <t>Timeline to Decide</t>
  </si>
  <si>
    <t>Program Lead (with steering committee confirmation)</t>
  </si>
  <si>
    <t>Proceed immediately</t>
  </si>
  <si>
    <t>1 day</t>
  </si>
  <si>
    <t>Steering Committee (CIO/CDO/CFO)</t>
  </si>
  <si>
    <t>Approve with conditions</t>
  </si>
  <si>
    <t>3 days</t>
  </si>
  <si>
    <t>Steering Committee + Executive Sponsor (C-Suite)</t>
  </si>
  <si>
    <t>Conditional approval or defer</t>
  </si>
  <si>
    <t>5 days</t>
  </si>
  <si>
    <t>C-Suite + Board (if applicable)</t>
  </si>
  <si>
    <t>Reject or redesign fundamentally</t>
  </si>
  <si>
    <t>1 week</t>
  </si>
  <si>
    <t>REVENUE VS COST - QUANTIFIABLE FINANCIAL MODELING WITH AUTO RESULTS</t>
  </si>
  <si>
    <t>Enter costs and revenue/savings projections. All financial metrics auto-calculate.</t>
  </si>
  <si>
    <t>DATA ENTRY SECTION - FINANCIAL PROJECTIONS</t>
  </si>
  <si>
    <t>Implementation Cost</t>
  </si>
  <si>
    <t>Year 1 Revenue</t>
  </si>
  <si>
    <t>Year 1 Savings</t>
  </si>
  <si>
    <t>Year 2 Revenue</t>
  </si>
  <si>
    <t>Year 2 Savings</t>
  </si>
  <si>
    <t>Operating Costs</t>
  </si>
  <si>
    <t>Total Benefits (Y1+Y2)</t>
  </si>
  <si>
    <t>Net Benefit</t>
  </si>
  <si>
    <t>Notes</t>
  </si>
  <si>
    <t>GenAI Process Automation</t>
  </si>
  <si>
    <t>Predictive Analytics</t>
  </si>
  <si>
    <t>Customer AI Assistant</t>
  </si>
  <si>
    <t>Document Intelligence</t>
  </si>
  <si>
    <t>Code Generation</t>
  </si>
  <si>
    <t>Risk Assessment AI</t>
  </si>
  <si>
    <t>TOTALS</t>
  </si>
  <si>
    <t>AUTOMATIC FINANCIAL ANALYSIS &amp; METRICS</t>
  </si>
  <si>
    <t>Financial Metric</t>
  </si>
  <si>
    <t>Value</t>
  </si>
  <si>
    <t>Target Range</t>
  </si>
  <si>
    <t>Performance Status</t>
  </si>
  <si>
    <t>Total Investment Required</t>
  </si>
  <si>
    <t>$1-5M</t>
  </si>
  <si>
    <t>Total 2-Year Benefits</t>
  </si>
  <si>
    <t>&gt;$3M</t>
  </si>
  <si>
    <t>Total Net Benefit</t>
  </si>
  <si>
    <t>&gt;$1M</t>
  </si>
  <si>
    <t>ROI %</t>
  </si>
  <si>
    <t>&gt;100%</t>
  </si>
  <si>
    <t>Benefit Cost Ratio</t>
  </si>
  <si>
    <t>&gt;2.0</t>
  </si>
  <si>
    <t>Payback Period (Months)</t>
  </si>
  <si>
    <t>&lt;12 months</t>
  </si>
  <si>
    <t>milind naik</t>
  </si>
  <si>
    <t>This strategic assessment should be reviewed quarterly and updated annually to ensure continued alignment with organizational strategy and market conditions.</t>
  </si>
  <si>
    <t>Date:</t>
  </si>
  <si>
    <t>Approved by:</t>
  </si>
  <si>
    <t>Assessment Completed by:</t>
  </si>
  <si>
    <t>Dependencies</t>
  </si>
  <si>
    <t>Due Date</t>
  </si>
  <si>
    <t>Action Item</t>
  </si>
  <si>
    <t>D. Next Steps &amp; Timeline</t>
  </si>
  <si>
    <t>Innovation</t>
  </si>
  <si>
    <t>Financial</t>
  </si>
  <si>
    <t>Operational</t>
  </si>
  <si>
    <t>Strategic</t>
  </si>
  <si>
    <t>Measurement Method</t>
  </si>
  <si>
    <t>Target</t>
  </si>
  <si>
    <t>Key Performance Indicator</t>
  </si>
  <si>
    <t>Metric Category</t>
  </si>
  <si>
    <t>C. Success Metrics Definition</t>
  </si>
  <si>
    <t>Long-term Strategy (12+ months):</t>
  </si>
  <si>
    <t>Short-term Initiatives (3-12 months):</t>
  </si>
  <si>
    <t>Immediate Actions (0-3 months):</t>
  </si>
  <si>
    <t>B. Recommended Action Plan</t>
  </si>
  <si>
    <t>Not Ready / Developing / Ready / Highly Ready</t>
  </si>
  <si>
    <t>Overall Readiness Level:</t>
  </si>
  <si>
    <t xml:space="preserve"> ___/55</t>
  </si>
  <si>
    <t>Organizational Readiness Score:</t>
  </si>
  <si>
    <t>Strategic Alignment Score:</t>
  </si>
  <si>
    <t>A. Readiness Assessment Summary</t>
  </si>
  <si>
    <t>Phase 6: Strategic Recommendations</t>
  </si>
  <si>
    <t>Business Analysts</t>
  </si>
  <si>
    <t>Change Managers</t>
  </si>
  <si>
    <t>Product Managers</t>
  </si>
  <si>
    <t>Data Scientists</t>
  </si>
  <si>
    <t>AI/ML Engineers</t>
  </si>
  <si>
    <t>Acquisition Strategy</t>
  </si>
  <si>
    <t>Required Capacity</t>
  </si>
  <si>
    <t>Current Capacity</t>
  </si>
  <si>
    <t>Role</t>
  </si>
  <si>
    <t>B. Human Resource Requirements</t>
  </si>
  <si>
    <r>
      <rPr>
        <b/>
        <sz val="10"/>
        <rFont val="Arial"/>
      </rPr>
      <t>Total Investment</t>
    </r>
  </si>
  <si>
    <t>Training &amp; Development</t>
  </si>
  <si>
    <t>Internal Personnel</t>
  </si>
  <si>
    <t>Professional Services</t>
  </si>
  <si>
    <t>Software Licensing</t>
  </si>
  <si>
    <t>Technology Infrastructure</t>
  </si>
  <si>
    <t>Total</t>
  </si>
  <si>
    <t>Year 3</t>
  </si>
  <si>
    <t>Year 2</t>
  </si>
  <si>
    <t>Year 1</t>
  </si>
  <si>
    <t>Category</t>
  </si>
  <si>
    <t>A. Financial Investment Estimation</t>
  </si>
  <si>
    <t>Phase 5: Resource Requirement Analysis</t>
  </si>
  <si>
    <t xml:space="preserve"> Low / Medium / High</t>
  </si>
  <si>
    <t>Overall Risk Level:</t>
  </si>
  <si>
    <t>Stakeholder Buy-in:</t>
  </si>
  <si>
    <t>Cultural Misalignment:</t>
  </si>
  <si>
    <t>Change Management Resistance:</t>
  </si>
  <si>
    <t>Talent Acquisition/Retention:</t>
  </si>
  <si>
    <t>C. Organizational Risks</t>
  </si>
  <si>
    <t>Vendor Dependency:</t>
  </si>
  <si>
    <t>System Integration Complexity:</t>
  </si>
  <si>
    <t>Regulatory Compliance:</t>
  </si>
  <si>
    <t>Data Privacy &amp; Security:</t>
  </si>
  <si>
    <t>B. Operational Risks</t>
  </si>
  <si>
    <t>ROI Shortfall Risk:</t>
  </si>
  <si>
    <t>Implementation Failure Risk:</t>
  </si>
  <si>
    <t>Technology Obsolescence Risk:</t>
  </si>
  <si>
    <t>Competitive Response Risk:</t>
  </si>
  <si>
    <t>A. Strategic Risks</t>
  </si>
  <si>
    <t>Phase 4: Risk Assessment Framework</t>
  </si>
  <si>
    <t xml:space="preserve"> Score: </t>
  </si>
  <si>
    <t>1-2-3-4-5</t>
  </si>
  <si>
    <t>Priority Ranking:</t>
  </si>
  <si>
    <t>Sales &amp; Marketing Optimization</t>
  </si>
  <si>
    <t>Product Development</t>
  </si>
  <si>
    <t>Data Analytics &amp; Insights</t>
  </si>
  <si>
    <t>Content Generation</t>
  </si>
  <si>
    <t>Process Automation</t>
  </si>
  <si>
    <t>Customer Service AI</t>
  </si>
  <si>
    <t>Priority Score</t>
  </si>
  <si>
    <t>Risk Level</t>
  </si>
  <si>
    <t>Resource Requirement</t>
  </si>
  <si>
    <t>Implementation Speed</t>
  </si>
  <si>
    <t>Technical Feasibility</t>
  </si>
  <si>
    <t>Business Value</t>
  </si>
  <si>
    <t>For each potential use case, score from 1-5:</t>
  </si>
  <si>
    <t>High-Impact Opportunity Identification</t>
  </si>
  <si>
    <t>Phase 3: Use Case Prioritization Matrix</t>
  </si>
  <si>
    <t xml:space="preserve"> ___/30</t>
  </si>
  <si>
    <t>Cultural Readiness Score:</t>
  </si>
  <si>
    <t>Cross-functional collaboration</t>
  </si>
  <si>
    <t>Change adaptability</t>
  </si>
  <si>
    <t>Learning agility</t>
  </si>
  <si>
    <t>Risk tolerance level</t>
  </si>
  <si>
    <t>Innovation culture strength</t>
  </si>
  <si>
    <t>Leadership commitment to AI</t>
  </si>
  <si>
    <t>Comments</t>
  </si>
  <si>
    <t>Assessment</t>
  </si>
  <si>
    <t>C. Cultural Change Readiness</t>
  </si>
  <si>
    <t>Developing / Competent / Expert</t>
  </si>
  <si>
    <t xml:space="preserve">Vendor management capability: </t>
  </si>
  <si>
    <t>Limited / Adequate / Abundant</t>
  </si>
  <si>
    <t xml:space="preserve">Development resources: </t>
  </si>
  <si>
    <t>Low / Medium / High</t>
  </si>
  <si>
    <t xml:space="preserve">Integration capabilities: </t>
  </si>
  <si>
    <t xml:space="preserve">Technology infrastructure scalability: </t>
  </si>
  <si>
    <t xml:space="preserve">AI/ML expertise in-house: </t>
  </si>
  <si>
    <t>B. Technical Capability Assessment</t>
  </si>
  <si>
    <t xml:space="preserve"> ___/25</t>
  </si>
  <si>
    <t>Data Readiness Score:</t>
  </si>
  <si>
    <t>Cloud Readiness</t>
  </si>
  <si>
    <t>Data Security</t>
  </si>
  <si>
    <t>Data Architecture</t>
  </si>
  <si>
    <t>Action Required</t>
  </si>
  <si>
    <t>Gap Analysis</t>
  </si>
  <si>
    <t>Required State</t>
  </si>
  <si>
    <t>Current State</t>
  </si>
  <si>
    <t>Component</t>
  </si>
  <si>
    <t>A. Data Infrastructure Maturity</t>
  </si>
  <si>
    <t>Phase 2: Organizational Readiness Assessment</t>
  </si>
  <si>
    <t>______/25</t>
  </si>
  <si>
    <t>Total Competitive Score:</t>
  </si>
  <si>
    <t>__________________</t>
  </si>
  <si>
    <t>Innovation acceleration capability:</t>
  </si>
  <si>
    <t>Cost leadership potential:</t>
  </si>
  <si>
    <t xml:space="preserve">Customer value proposition enhancement: </t>
  </si>
  <si>
    <t>First-mover advantage opportunity:</t>
  </si>
  <si>
    <t>Differentiation potential through GenAI:</t>
  </si>
  <si>
    <t>Rate each area from 1 (No advantage) to 5 (Significant advantage):</t>
  </si>
  <si>
    <t>B. Competitive Advantage Analysis</t>
  </si>
  <si>
    <t>Total Strategic Alignment Score:</t>
  </si>
  <si>
    <t>Market Differentiation</t>
  </si>
  <si>
    <t>Innovation &amp; R&amp;D</t>
  </si>
  <si>
    <t>Operational Efficiency</t>
  </si>
  <si>
    <t>Customer Experience</t>
  </si>
  <si>
    <t>Cost Optimization</t>
  </si>
  <si>
    <t>Revenue Growth</t>
  </si>
  <si>
    <t>Feasibility Score (1-5)</t>
  </si>
  <si>
    <t>Impact Score (1-5)</t>
  </si>
  <si>
    <t>GenAI Opportunity</t>
  </si>
  <si>
    <t>Business Objective</t>
  </si>
  <si>
    <t>A. Business Objectives Mapping</t>
  </si>
  <si>
    <t>Phase 1: Strategic Alignment Assessment</t>
  </si>
  <si>
    <t>Next Review Date:</t>
  </si>
  <si>
    <t>Assessed by:</t>
  </si>
  <si>
    <t>Assessment Date:</t>
  </si>
  <si>
    <t>Organization:</t>
  </si>
  <si>
    <t>Executive Summary Assessment Matrix</t>
  </si>
  <si>
    <t>1. STRATEGIC ASSESSMENT TEMPLATE</t>
  </si>
  <si>
    <t>Ai-GenAI Strategic Assessment Framework</t>
  </si>
  <si>
    <t>This ROI framework should be updated monthly for the first year, then quarterly thereafter. Regular reviews ensure continued alignment with business objectives and optimization opportunities.</t>
  </si>
  <si>
    <t>Reviewed by:</t>
  </si>
  <si>
    <t>Prepared by:</t>
  </si>
  <si>
    <t>Next Quarter Focus</t>
  </si>
  <si>
    <t>Areas for Improvement</t>
  </si>
  <si>
    <t>Key Achievements</t>
  </si>
  <si>
    <t xml:space="preserve"> ___ months</t>
  </si>
  <si>
    <t>Payback Period:</t>
  </si>
  <si>
    <t>%</t>
  </si>
  <si>
    <t>Projected 3-Year ROI:</t>
  </si>
  <si>
    <t>Current ROI:</t>
  </si>
  <si>
    <t xml:space="preserve"> $</t>
  </si>
  <si>
    <t>Total Benefits Realized:</t>
  </si>
  <si>
    <t>Total Investment to Date:</t>
  </si>
  <si>
    <t>Financial Summary</t>
  </si>
  <si>
    <t>Period:</t>
  </si>
  <si>
    <t>Project:</t>
  </si>
  <si>
    <t>Executive ROI Dashboard</t>
  </si>
  <si>
    <t>G. ROI Reporting Template</t>
  </si>
  <si>
    <t>+__% ROI</t>
  </si>
  <si>
    <r>
      <t xml:space="preserve">Add </t>
    </r>
    <r>
      <rPr>
        <i/>
        <sz val="10"/>
        <rFont val="Arial"/>
        <family val="2"/>
      </rPr>
      <t>use cases</t>
    </r>
  </si>
  <si>
    <r>
      <rPr>
        <b/>
        <sz val="10"/>
        <rFont val="Arial"/>
        <family val="2"/>
      </rPr>
      <t>use cases</t>
    </r>
  </si>
  <si>
    <t>Scope expansion</t>
  </si>
  <si>
    <r>
      <t>+</t>
    </r>
    <r>
      <rPr>
        <i/>
        <sz val="10"/>
        <rFont val="Arial"/>
        <family val="2"/>
      </rPr>
      <t>% ROI</t>
    </r>
  </si>
  <si>
    <r>
      <t xml:space="preserve">Reduce by </t>
    </r>
    <r>
      <rPr>
        <b/>
        <sz val="10"/>
        <rFont val="Arial"/>
        <family val="2"/>
      </rPr>
      <t>%</t>
    </r>
  </si>
  <si>
    <t>$</t>
  </si>
  <si>
    <t>Cost management</t>
  </si>
  <si>
    <t>+% ROI</t>
  </si>
  <si>
    <r>
      <t xml:space="preserve">Improve by </t>
    </r>
    <r>
      <rPr>
        <b/>
        <i/>
        <sz val="10"/>
        <rFont val="Arial"/>
        <family val="2"/>
      </rPr>
      <t>%</t>
    </r>
  </si>
  <si>
    <t>Process efficiency</t>
  </si>
  <si>
    <r>
      <t>+</t>
    </r>
    <r>
      <rPr>
        <b/>
        <i/>
        <sz val="10"/>
        <rFont val="Arial"/>
        <family val="2"/>
      </rPr>
      <t>% ROI</t>
    </r>
  </si>
  <si>
    <t>Increase to %</t>
  </si>
  <si>
    <r>
      <rPr>
        <b/>
        <i/>
        <sz val="10"/>
        <rFont val="Arial"/>
        <family val="2"/>
      </rPr>
      <t>%</t>
    </r>
  </si>
  <si>
    <t>User adoption</t>
  </si>
  <si>
    <t>Expected Impact</t>
  </si>
  <si>
    <t>Optimization Opportunity</t>
  </si>
  <si>
    <t>Lever</t>
  </si>
  <si>
    <t>Optimization Levers</t>
  </si>
  <si>
    <t xml:space="preserve"> Execute optimization actions</t>
  </si>
  <si>
    <t>Implementation:</t>
  </si>
  <si>
    <t xml:space="preserve"> Develop improvement initiatives</t>
  </si>
  <si>
    <t>Action Planning:</t>
  </si>
  <si>
    <t xml:space="preserve"> Identify drivers of positive/negative variance</t>
  </si>
  <si>
    <t>Root Cause Analysis:</t>
  </si>
  <si>
    <t xml:space="preserve"> Compare actual vs. projected ROI</t>
  </si>
  <si>
    <t>Variance Analysis:</t>
  </si>
  <si>
    <t xml:space="preserve"> Gather actual performance data</t>
  </si>
  <si>
    <t>Data Collection:</t>
  </si>
  <si>
    <t>Monthly Review Process</t>
  </si>
  <si>
    <t>2. ROI Optimization Framework</t>
  </si>
  <si>
    <t>&amp;ShortUpArrow;/↓/→</t>
  </si>
  <si>
    <t>% improvement in key metrics</t>
  </si>
  <si>
    <t>- Performance gains</t>
  </si>
  <si>
    <t>Average daily/weekly usage</t>
  </si>
  <si>
    <t>- Usage frequency</t>
  </si>
  <si>
    <t>% employees using GenAI</t>
  </si>
  <si>
    <t>- Adoption rate</t>
  </si>
  <si>
    <r>
      <rPr>
        <b/>
        <sz val="10"/>
        <rFont val="Arial"/>
        <family val="2"/>
      </rPr>
      <t>Operational</t>
    </r>
  </si>
  <si>
    <t>% of investment recovered</t>
  </si>
  <si>
    <t>- Payback progress</t>
  </si>
  <si>
    <t>Total costs/Total benefits</t>
  </si>
  <si>
    <t>- Cost per benefit</t>
  </si>
  <si>
    <t>Monthly net benefit/investment</t>
  </si>
  <si>
    <t>- Monthly ROI</t>
  </si>
  <si>
    <r>
      <rPr>
        <b/>
        <sz val="10"/>
        <rFont val="Arial"/>
        <family val="2"/>
      </rPr>
      <t>Financial</t>
    </r>
  </si>
  <si>
    <t>Trend</t>
  </si>
  <si>
    <t>Current</t>
  </si>
  <si>
    <t>KPI Category</t>
  </si>
  <si>
    <t>1. Key Performance Indicators (KPIs)</t>
  </si>
  <si>
    <t>F. ROI Monitoring &amp; Optimization</t>
  </si>
  <si>
    <t>Time to Positive ROI:</t>
  </si>
  <si>
    <t>Break-even Revenue: $$</t>
  </si>
  <si>
    <t xml:space="preserve"> Month ___</t>
  </si>
  <si>
    <t>Break-even Point: Month____________</t>
  </si>
  <si>
    <t>3. Break-Even Analysis</t>
  </si>
  <si>
    <t>Most Likely (Base case)</t>
  </si>
  <si>
    <t>Optimistic (Benefits +30%, Costs -10%)</t>
  </si>
  <si>
    <t>Conservative (Benefits -20%, Costs +10%)</t>
  </si>
  <si>
    <t>Adjusted ROI (%)</t>
  </si>
  <si>
    <t>Costs Change</t>
  </si>
  <si>
    <t>Benefits Change</t>
  </si>
  <si>
    <t>Scenario</t>
  </si>
  <si>
    <t>Test ROI under different scenarios</t>
  </si>
  <si>
    <t>2. ROI Sensitivity Analysis</t>
  </si>
  <si>
    <r>
      <rPr>
        <b/>
        <sz val="10"/>
        <rFont val="Arial"/>
        <family val="2"/>
      </rPr>
      <t>Total</t>
    </r>
  </si>
  <si>
    <t>Cumulative ROI (%)</t>
  </si>
  <si>
    <t>Net Benefit ($)</t>
  </si>
  <si>
    <t>Costs ($)</t>
  </si>
  <si>
    <t>Benefits ($)</t>
  </si>
  <si>
    <t>Year</t>
  </si>
  <si>
    <t>1. Three-Year ROI Analysis</t>
  </si>
  <si>
    <t>E. Comprehensive ROI Calculation</t>
  </si>
  <si>
    <t>__</t>
  </si>
  <si>
    <t>Total Risk Mitigation Value:</t>
  </si>
  <si>
    <r>
      <rPr>
        <i/>
        <sz val="10"/>
        <rFont val="Arial"/>
        <family val="2"/>
      </rPr>
      <t>%</t>
    </r>
  </si>
  <si>
    <t>Competitive risks</t>
  </si>
  <si>
    <r>
      <rPr>
        <b/>
        <sz val="10"/>
        <rFont val="Arial"/>
        <family val="2"/>
      </rPr>
      <t>%</t>
    </r>
  </si>
  <si>
    <t>Quality risks</t>
  </si>
  <si>
    <t>Compliance risks</t>
  </si>
  <si>
    <t>Operational risks</t>
  </si>
  <si>
    <t>Value Created</t>
  </si>
  <si>
    <t>Risk Reduction %</t>
  </si>
  <si>
    <t>Baseline Risk Cost</t>
  </si>
  <si>
    <t>Risk Category</t>
  </si>
  <si>
    <t>2. Risk Mitigation Value</t>
  </si>
  <si>
    <t xml:space="preserve"> ___/5.0</t>
  </si>
  <si>
    <t>Total Strategic Value Score:</t>
  </si>
  <si>
    <t>5%</t>
  </si>
  <si>
    <t>Scalability potential</t>
  </si>
  <si>
    <t>Regulatory compliance</t>
  </si>
  <si>
    <t>Employee satisfaction</t>
  </si>
  <si>
    <t>15%</t>
  </si>
  <si>
    <t>Customer satisfaction</t>
  </si>
  <si>
    <t>Brand differentiation</t>
  </si>
  <si>
    <t>Market responsiveness</t>
  </si>
  <si>
    <t>Innovation capability</t>
  </si>
  <si>
    <t>Competitive advantage</t>
  </si>
  <si>
    <t>Weighted Score</t>
  </si>
  <si>
    <t>Weight</t>
  </si>
  <si>
    <t>Score</t>
  </si>
  <si>
    <t>Strategic Factor</t>
  </si>
  <si>
    <t>Rate each factor from 1 (No impact) to 5 (Significant impact)</t>
  </si>
  <si>
    <t>1. Strategic Value Scoring</t>
  </si>
  <si>
    <t>D. Qualitative Benefits Assessment</t>
  </si>
  <si>
    <t>Total Productivity Value:</t>
  </si>
  <si>
    <r>
      <rPr>
        <i/>
        <sz val="10"/>
        <rFont val="Arial"/>
        <family val="2"/>
      </rPr>
      <t>% fewer errors</t>
    </r>
  </si>
  <si>
    <t>- Accuracy improvement</t>
  </si>
  <si>
    <r>
      <rPr>
        <b/>
        <i/>
        <sz val="10"/>
        <rFont val="Arial"/>
        <family val="2"/>
      </rPr>
      <t>% more</t>
    </r>
  </si>
  <si>
    <t>- Throughput increase</t>
  </si>
  <si>
    <r>
      <rPr>
        <i/>
        <sz val="10"/>
        <rFont val="Arial"/>
        <family val="2"/>
      </rPr>
      <t>% faster</t>
    </r>
  </si>
  <si>
    <t>- Cycle time reduction</t>
  </si>
  <si>
    <r>
      <rPr>
        <b/>
        <sz val="10"/>
        <rFont val="Arial"/>
        <family val="2"/>
      </rPr>
      <t>Process Efficiency</t>
    </r>
  </si>
  <si>
    <r>
      <rPr>
        <b/>
        <i/>
        <sz val="10"/>
        <rFont val="Arial"/>
        <family val="2"/>
      </rPr>
      <t>% improvement</t>
    </r>
  </si>
  <si>
    <t>- Output quality scores</t>
  </si>
  <si>
    <r>
      <rPr>
        <i/>
        <sz val="10"/>
        <rFont val="Arial"/>
        <family val="2"/>
      </rPr>
      <t>% reduction</t>
    </r>
  </si>
  <si>
    <t>- Time to complete projects</t>
  </si>
  <si>
    <t>- Tasks completed per hour</t>
  </si>
  <si>
    <r>
      <rPr>
        <b/>
        <sz val="10"/>
        <rFont val="Arial"/>
        <family val="2"/>
      </rPr>
      <t>Employee Productivity</t>
    </r>
  </si>
  <si>
    <t>Value ($)</t>
  </si>
  <si>
    <t>Improvement</t>
  </si>
  <si>
    <t>With GenAI</t>
  </si>
  <si>
    <t>Baseline</t>
  </si>
  <si>
    <t>2. Productivity Improvements</t>
  </si>
  <si>
    <t>Total Annual Cost Savings:</t>
  </si>
  <si>
    <t>Time Reduction × Agent Cost × Ticket Volume</t>
  </si>
  <si>
    <t>- Resolution time</t>
  </si>
  <si>
    <t>Support Tickets × Cost per Ticket</t>
  </si>
  <si>
    <t>- Support automation</t>
  </si>
  <si>
    <r>
      <rPr>
        <b/>
        <sz val="10"/>
        <rFont val="Arial"/>
        <family val="2"/>
      </rPr>
      <t>Customer Service</t>
    </r>
  </si>
  <si>
    <t>Creation Time × Hourly Rate × Volume</t>
  </si>
  <si>
    <t>- Content creation</t>
  </si>
  <si>
    <t>Decision Time × Hourly Rate × Decisions/Year</t>
  </si>
  <si>
    <t>- Decision speed</t>
  </si>
  <si>
    <r>
      <rPr>
        <i/>
        <sz val="10"/>
        <rFont val="Arial"/>
        <family val="2"/>
      </rPr>
      <t>FTE</t>
    </r>
  </si>
  <si>
    <r>
      <rPr>
        <b/>
        <sz val="10"/>
        <rFont val="Arial"/>
        <family val="2"/>
      </rPr>
      <t>FTE</t>
    </r>
  </si>
  <si>
    <t>FTE Reduction × Average Salary</t>
  </si>
  <si>
    <t>- Task automation</t>
  </si>
  <si>
    <r>
      <rPr>
        <b/>
        <sz val="10"/>
        <rFont val="Arial"/>
        <family val="2"/>
      </rPr>
      <t>Labor Productivity</t>
    </r>
  </si>
  <si>
    <t>Defect Cost × Defect Reduction %</t>
  </si>
  <si>
    <t>- Quality improvements</t>
  </si>
  <si>
    <t>Error Cost × Error Reduction %</t>
  </si>
  <si>
    <t>- Error reduction</t>
  </si>
  <si>
    <t>Hours Saved × Hourly Rate × 2080 hours</t>
  </si>
  <si>
    <t>- Process automation</t>
  </si>
  <si>
    <r>
      <rPr>
        <b/>
        <sz val="10"/>
        <rFont val="Arial"/>
        <family val="2"/>
      </rPr>
      <t>Operational Efficiency</t>
    </r>
  </si>
  <si>
    <t>Annual Savings</t>
  </si>
  <si>
    <t>Baseline Cost</t>
  </si>
  <si>
    <t>Calculation Method</t>
  </si>
  <si>
    <t>Benefit Type</t>
  </si>
  <si>
    <t>Cost Reduction</t>
  </si>
  <si>
    <t>Total Annual Revenue Benefits:</t>
  </si>
  <si>
    <t>$_</t>
  </si>
  <si>
    <t>Reduced stockout/overstock × Margin</t>
  </si>
  <si>
    <t>- Demand forecasting</t>
  </si>
  <si>
    <t>Price Increase % × Revenue Base</t>
  </si>
  <si>
    <t>- Dynamic pricing gains</t>
  </si>
  <si>
    <r>
      <rPr>
        <b/>
        <sz val="10"/>
        <rFont val="Arial"/>
        <family val="2"/>
      </rPr>
      <t>Pricing Optimization</t>
    </r>
  </si>
  <si>
    <t>Additional Revenue per Customer × Customer Base</t>
  </si>
  <si>
    <t>- Upselling/Cross-selling</t>
  </si>
  <si>
    <t>New Customers × Average Customer Value</t>
  </si>
  <si>
    <t>- Customer acquisition</t>
  </si>
  <si>
    <t>(New Rate - Old Rate) × Lead Volume × Avg Deal Size</t>
  </si>
  <si>
    <t>- Lead conversion rate</t>
  </si>
  <si>
    <r>
      <rPr>
        <b/>
        <sz val="10"/>
        <rFont val="Arial"/>
        <family val="2"/>
      </rPr>
      <t>Sales Increase</t>
    </r>
  </si>
  <si>
    <t>Annual Impact</t>
  </si>
  <si>
    <t>Revenue Enhancement</t>
  </si>
  <si>
    <t>1. Direct Financial Benefits</t>
  </si>
  <si>
    <t>C. Benefit Quantification Framework</t>
  </si>
  <si>
    <t>Total Annual Operational Costs:</t>
  </si>
  <si>
    <t>Training new hires</t>
  </si>
  <si>
    <t>- New employee onboarding</t>
  </si>
  <si>
    <t>Ongoing skill development</t>
  </si>
  <si>
    <t>- Continuous learning</t>
  </si>
  <si>
    <r>
      <rPr>
        <b/>
        <sz val="10"/>
        <rFont val="Arial"/>
        <family val="2"/>
      </rPr>
      <t>Training &amp; Development</t>
    </r>
  </si>
  <si>
    <t>Ongoing tuning</t>
  </si>
  <si>
    <t>- Performance optimization</t>
  </si>
  <si>
    <t>Regular updates/patches</t>
  </si>
  <si>
    <t>- System maintenance</t>
  </si>
  <si>
    <t>Technical support contracts</t>
  </si>
  <si>
    <t>- Vendor support</t>
  </si>
  <si>
    <r>
      <rPr>
        <b/>
        <sz val="10"/>
        <rFont val="Arial"/>
        <family val="2"/>
      </rPr>
      <t>Maintenance &amp; Support</t>
    </r>
  </si>
  <si>
    <t>Maintenance personnel</t>
  </si>
  <si>
    <t>- System administrators</t>
  </si>
  <si>
    <t>Salary + benefits</t>
  </si>
  <si>
    <t>- Data scientists</t>
  </si>
  <si>
    <t>- AI specialists</t>
  </si>
  <si>
    <r>
      <rPr>
        <b/>
        <sz val="10"/>
        <rFont val="Arial"/>
        <family val="2"/>
      </rPr>
      <t>Personnel Costs</t>
    </r>
  </si>
  <si>
    <t>Additional security measures</t>
  </si>
  <si>
    <t>- Security &amp; compliance</t>
  </si>
  <si>
    <t>Storage and processing costs</t>
  </si>
  <si>
    <t>- Data storage</t>
  </si>
  <si>
    <t>Recurring license fees</t>
  </si>
  <si>
    <t>- Software licenses</t>
  </si>
  <si>
    <t>Monthly/annual subscriptions</t>
  </si>
  <si>
    <t>- Cloud services</t>
  </si>
  <si>
    <r>
      <rPr>
        <b/>
        <sz val="10"/>
        <rFont val="Arial"/>
        <family val="2"/>
      </rPr>
      <t>Technology Costs</t>
    </r>
  </si>
  <si>
    <t>Annual Amount</t>
  </si>
  <si>
    <t>Cost Category</t>
  </si>
  <si>
    <t>2. Ongoing Operational Costs (Annual)</t>
  </si>
  <si>
    <t>Total Initial Investment:</t>
  </si>
  <si>
    <t>Organizational change support</t>
  </si>
  <si>
    <t>- Change management</t>
  </si>
  <si>
    <t>Technical certifications</t>
  </si>
  <si>
    <t>- Certification programs</t>
  </si>
  <si>
    <t>Skills development programs</t>
  </si>
  <si>
    <t>- Employee training</t>
  </si>
  <si>
    <t>Requirements gathering</t>
  </si>
  <si>
    <t>- Business analyst time</t>
  </si>
  <si>
    <t>Development resources</t>
  </si>
  <si>
    <t>- Technical team time</t>
  </si>
  <si>
    <t>Internal PM costs</t>
  </si>
  <si>
    <t>- Project management</t>
  </si>
  <si>
    <r>
      <rPr>
        <b/>
        <sz val="10"/>
        <rFont val="Arial"/>
        <family val="2"/>
      </rPr>
      <t>Internal Resources</t>
    </r>
  </si>
  <si>
    <t>Moving/preparing data</t>
  </si>
  <si>
    <t>- Data migration</t>
  </si>
  <si>
    <t>Integration with existing systems</t>
  </si>
  <si>
    <t>- System integration</t>
  </si>
  <si>
    <t>External implementation support</t>
  </si>
  <si>
    <t>- Consulting fees</t>
  </si>
  <si>
    <r>
      <rPr>
        <b/>
        <sz val="10"/>
        <rFont val="Arial"/>
        <family val="2"/>
      </rPr>
      <t>Implementation Services</t>
    </r>
  </si>
  <si>
    <t>AI platform licenses</t>
  </si>
  <si>
    <t>- Software licensing</t>
  </si>
  <si>
    <t>Additional computing resources</t>
  </si>
  <si>
    <t>- Hardware/servers</t>
  </si>
  <si>
    <t>Initial cloud services setup</t>
  </si>
  <si>
    <t>- Cloud platform setup</t>
  </si>
  <si>
    <r>
      <rPr>
        <b/>
        <sz val="10"/>
        <rFont val="Arial"/>
        <family val="2"/>
      </rPr>
      <t>Technology Infrastructure</t>
    </r>
  </si>
  <si>
    <t>Amount ($)</t>
  </si>
  <si>
    <t>1. Initial Investment Costs</t>
  </si>
  <si>
    <t>B. Cost Component Analysis</t>
  </si>
  <si>
    <t>IRR = Discount rate where NPV = 0</t>
  </si>
  <si>
    <t>3. Internal Rate of Return (IRR)</t>
  </si>
  <si>
    <t>Payback Period = Initial Investment / Annual Net Cash Flow</t>
  </si>
  <si>
    <t>2. Payback Period</t>
  </si>
  <si>
    <t>NPV = Σ [(Benefits - Costs) / (1 + Discount Rate)^Year]</t>
  </si>
  <si>
    <t>1. Net Present Value (NPV)</t>
  </si>
  <si>
    <t>Alternative ROI Metrics</t>
  </si>
  <si>
    <t xml:space="preserve"> = Initial + Implementation + Ongoing Costs</t>
  </si>
  <si>
    <t>Total Investment</t>
  </si>
  <si>
    <t xml:space="preserve"> = Total Benefits - Total Costs (operational, ongoing)</t>
  </si>
  <si>
    <t>Net Benefits</t>
  </si>
  <si>
    <t>Where:</t>
  </si>
  <si>
    <t>ROI = (Net Benefits - Total Investment) / Total Investment × 100</t>
  </si>
  <si>
    <t>Core ROI Formula</t>
  </si>
  <si>
    <t>A. ROI Calculation Methodology</t>
  </si>
  <si>
    <t>This comprehensive framework enables organizations to calculate, track, and optimize the Return on Investment (ROI) for GenAI initiatives. It includes both quantitative metrics and qualitative benefits assessment.</t>
  </si>
  <si>
    <t>Executive Summary</t>
  </si>
  <si>
    <t>This ethical decision-making checklist should be used for all GenAI implementations and reviewed annually. Regular training on ethical AI principles should be provided to all staff involved in AI development and deployment.</t>
  </si>
  <si>
    <t>Review Date:</t>
  </si>
  <si>
    <t>Success Metrics:</t>
  </si>
  <si>
    <t>Timeline:</t>
  </si>
  <si>
    <t>Actions Required:</t>
  </si>
  <si>
    <t>Implementation Plan</t>
  </si>
  <si>
    <t>Alternative Options Considered:</t>
  </si>
  <si>
    <t>Justification:</t>
  </si>
  <si>
    <t>Decision Made:</t>
  </si>
  <si>
    <t>Decision Rationale</t>
  </si>
  <si>
    <t>Mitigation Measures:</t>
  </si>
  <si>
    <t>_</t>
  </si>
  <si>
    <t>High-Risk Areas:</t>
  </si>
  <si>
    <t>Risk Assessment:</t>
  </si>
  <si>
    <t>[ ] Non-maleficence</t>
  </si>
  <si>
    <t>[ ] Human Autonomy</t>
  </si>
  <si>
    <t>[ ] Accountability</t>
  </si>
  <si>
    <t>[ ] Privacy</t>
  </si>
  <si>
    <t>[ ] Fairness</t>
  </si>
  <si>
    <t>[ ] Transparency</t>
  </si>
  <si>
    <t>Principles Considered:</t>
  </si>
  <si>
    <t>Ethical Analysis</t>
  </si>
  <si>
    <t>Potential Impacts:</t>
  </si>
  <si>
    <t>Stakeholders Involved:</t>
  </si>
  <si>
    <t>Issue/Question:</t>
  </si>
  <si>
    <t>Decision Context</t>
  </si>
  <si>
    <t>System/Application:</t>
  </si>
  <si>
    <t>Decision Maker:</t>
  </si>
  <si>
    <t>Decision Date:</t>
  </si>
  <si>
    <t>Ethical Decision Record</t>
  </si>
  <si>
    <t>G. Decision Documentation Template</t>
  </si>
  <si>
    <t>Conditions/Actions Required:</t>
  </si>
  <si>
    <t>Review Outcome:</t>
  </si>
  <si>
    <t xml:space="preserve"> ☐ Approved ☐ Approved with Conditions ☐ Requires Revision</t>
  </si>
  <si>
    <t xml:space="preserve">External Expert: </t>
  </si>
  <si>
    <t xml:space="preserve">Business Owner: </t>
  </si>
  <si>
    <t xml:space="preserve">Technical Lead: </t>
  </si>
  <si>
    <t xml:space="preserve">Legal Counsel: </t>
  </si>
  <si>
    <t xml:space="preserve">Ethics Officer: </t>
  </si>
  <si>
    <t>Committee Members:</t>
  </si>
  <si>
    <t>2. Ethics Committee Review</t>
  </si>
  <si>
    <t>Transparency measures</t>
  </si>
  <si>
    <t>Fairness metrics</t>
  </si>
  <si>
    <r>
      <rPr>
        <b/>
        <sz val="10"/>
        <rFont val="Arial"/>
        <family val="2"/>
      </rPr>
      <t>System Performance</t>
    </r>
  </si>
  <si>
    <t>Customer trust</t>
  </si>
  <si>
    <r>
      <rPr>
        <b/>
        <sz val="10"/>
        <rFont val="Arial"/>
        <family val="2"/>
      </rPr>
      <t>Stakeholder Impact</t>
    </r>
  </si>
  <si>
    <t>Policy adherence</t>
  </si>
  <si>
    <r>
      <rPr>
        <b/>
        <sz val="10"/>
        <rFont val="Arial"/>
        <family val="2"/>
      </rPr>
      <t>Ethical Compliance</t>
    </r>
  </si>
  <si>
    <t>Action Plan</t>
  </si>
  <si>
    <t>Score (1-5)</t>
  </si>
  <si>
    <t>1. Comprehensive Annual Assessment</t>
  </si>
  <si>
    <t>F. Annual Ethics Review</t>
  </si>
  <si>
    <t>[ ] Lessons learned documented</t>
  </si>
  <si>
    <t>[ ] Training updated</t>
  </si>
  <si>
    <t>[ ] Process improvements made</t>
  </si>
  <si>
    <t>[ ] System corrections implemented</t>
  </si>
  <si>
    <t>Long-term Actions (1-4 weeks)</t>
  </si>
  <si>
    <t xml:space="preserve">☐ </t>
  </si>
  <si>
    <t>[ ] Regulatory reporting (if required)</t>
  </si>
  <si>
    <t>[ ] Affected parties identified and contacted</t>
  </si>
  <si>
    <t>[ ] Remediation plan developed</t>
  </si>
  <si>
    <t>[ ] Root cause analysis initiated</t>
  </si>
  <si>
    <t>Short-term Actions (24-72 hours)</t>
  </si>
  <si>
    <t>[ ] Initial impact assessment completed</t>
  </si>
  <si>
    <t>[ ] System isolated/stopped if necessary</t>
  </si>
  <si>
    <t>[ ] Stakeholders notified</t>
  </si>
  <si>
    <t>[ ] Incident logged and categorized</t>
  </si>
  <si>
    <t>Immediate Actions (First 4 hours)</t>
  </si>
  <si>
    <t>When an ethical issue is identified:</t>
  </si>
  <si>
    <t>Incident Response Checklist</t>
  </si>
  <si>
    <t>System Owner</t>
  </si>
  <si>
    <t>Minor issues or improvements</t>
  </si>
  <si>
    <r>
      <rPr>
        <b/>
        <sz val="10"/>
        <rFont val="Arial"/>
        <family val="2"/>
      </rPr>
      <t>Low</t>
    </r>
  </si>
  <si>
    <t>Team Lead</t>
  </si>
  <si>
    <t>72 hours</t>
  </si>
  <si>
    <t>Performance degradation</t>
  </si>
  <si>
    <r>
      <rPr>
        <b/>
        <sz val="10"/>
        <rFont val="Arial"/>
        <family val="2"/>
      </rPr>
      <t>Medium</t>
    </r>
  </si>
  <si>
    <t>Department Head</t>
  </si>
  <si>
    <t>24 hours</t>
  </si>
  <si>
    <t>Potential harm or compliance issue</t>
  </si>
  <si>
    <r>
      <rPr>
        <b/>
        <sz val="10"/>
        <rFont val="Arial"/>
        <family val="2"/>
      </rPr>
      <t>High</t>
    </r>
  </si>
  <si>
    <t>C-Suite</t>
  </si>
  <si>
    <t>4 hours</t>
  </si>
  <si>
    <t>Significant harm or legal violation</t>
  </si>
  <si>
    <r>
      <rPr>
        <b/>
        <sz val="10"/>
        <rFont val="Arial"/>
        <family val="2"/>
      </rPr>
      <t>Critical</t>
    </r>
  </si>
  <si>
    <t>Approval Required</t>
  </si>
  <si>
    <t>Response Time</t>
  </si>
  <si>
    <t>Severity</t>
  </si>
  <si>
    <t>Incident Classification</t>
  </si>
  <si>
    <t>2. Incident Response Protocol</t>
  </si>
  <si>
    <t>☐ &amp;check; ☐ ⚠ ☐ &amp;cross;</t>
  </si>
  <si>
    <t>&lt;1%&lt; /td&gt;</t>
  </si>
  <si>
    <t>User complaints</t>
  </si>
  <si>
    <t>Complaint rate</t>
  </si>
  <si>
    <r>
      <rPr>
        <b/>
        <i/>
        <sz val="10"/>
        <rFont val="Arial"/>
        <family val="2"/>
      </rPr>
      <t>/5</t>
    </r>
  </si>
  <si>
    <t>&gt;4.0/5</t>
  </si>
  <si>
    <t>Average satisfaction</t>
  </si>
  <si>
    <t>User feedback score</t>
  </si>
  <si>
    <r>
      <rPr>
        <b/>
        <sz val="10"/>
        <rFont val="Arial"/>
        <family val="2"/>
      </rPr>
      <t>User Satisfaction</t>
    </r>
  </si>
  <si>
    <t>&lt;2%&lt; /td&gt;</t>
  </si>
  <si>
    <t>Incorrect positive classifications</t>
  </si>
  <si>
    <t>False positive rate</t>
  </si>
  <si>
    <t>Overall accuracy</t>
  </si>
  <si>
    <t>System accuracy</t>
  </si>
  <si>
    <r>
      <rPr>
        <b/>
        <sz val="10"/>
        <rFont val="Arial"/>
        <family val="2"/>
      </rPr>
      <t>Performance Metrics</t>
    </r>
  </si>
  <si>
    <t>±5%</t>
  </si>
  <si>
    <t>TPR equality</t>
  </si>
  <si>
    <t>Equal opportunity</t>
  </si>
  <si>
    <t>Equal outcomes</t>
  </si>
  <si>
    <t>Demographic parity</t>
  </si>
  <si>
    <r>
      <rPr>
        <b/>
        <sz val="10"/>
        <rFont val="Arial"/>
        <family val="2"/>
      </rPr>
      <t>Fairness Metrics</t>
    </r>
  </si>
  <si>
    <t>Monitoring Area</t>
  </si>
  <si>
    <t>Monthly Review Checklist</t>
  </si>
  <si>
    <t>1. Continuous Ethical Monitoring</t>
  </si>
  <si>
    <t>E. Ongoing Monitoring and Review</t>
  </si>
  <si>
    <t>Media/Public</t>
  </si>
  <si>
    <t>Regulatory Bodies</t>
  </si>
  <si>
    <t>Partners</t>
  </si>
  <si>
    <t>Customers</t>
  </si>
  <si>
    <t>Date</t>
  </si>
  <si>
    <t>Communication Method</t>
  </si>
  <si>
    <t>Information Shared</t>
  </si>
  <si>
    <t>Stakeholder</t>
  </si>
  <si>
    <t>External Communication</t>
  </si>
  <si>
    <t>Legal/Compliance</t>
  </si>
  <si>
    <t>Management</t>
  </si>
  <si>
    <t>Employees</t>
  </si>
  <si>
    <t>Internal Communication</t>
  </si>
  <si>
    <t>2. Communication and Disclosure</t>
  </si>
  <si>
    <t>☐ &amp;check; ☐ Pending ☐ &amp;cross;</t>
  </si>
  <si>
    <r>
      <rPr>
        <b/>
        <sz val="10"/>
        <rFont val="Arial"/>
        <family val="2"/>
      </rPr>
      <t>User communication prepared</t>
    </r>
  </si>
  <si>
    <r>
      <rPr>
        <b/>
        <sz val="10"/>
        <rFont val="Arial"/>
        <family val="2"/>
      </rPr>
      <t>Staff training completed</t>
    </r>
  </si>
  <si>
    <r>
      <rPr>
        <b/>
        <sz val="10"/>
        <rFont val="Arial"/>
        <family val="2"/>
      </rPr>
      <t>Incident response plan ready</t>
    </r>
  </si>
  <si>
    <r>
      <rPr>
        <b/>
        <sz val="10"/>
        <rFont val="Arial"/>
        <family val="2"/>
      </rPr>
      <t>Monitoring systems activated</t>
    </r>
  </si>
  <si>
    <r>
      <rPr>
        <b/>
        <sz val="10"/>
        <rFont val="Arial"/>
        <family val="2"/>
      </rPr>
      <t>Risk mitigation plans implemented</t>
    </r>
  </si>
  <si>
    <r>
      <rPr>
        <b/>
        <sz val="10"/>
        <rFont val="Arial"/>
        <family val="2"/>
      </rPr>
      <t>Ethical approval obtained</t>
    </r>
  </si>
  <si>
    <t>Readiness Criteria</t>
  </si>
  <si>
    <t>1. Launch Readiness Assessment</t>
  </si>
  <si>
    <t>D. Deployment Ethics Checklist</t>
  </si>
  <si>
    <t>- Stakeholder feedback and approval</t>
  </si>
  <si>
    <t>☐ Complete ☐ In Progress ☐ Planned</t>
  </si>
  <si>
    <r>
      <rPr>
        <b/>
        <sz val="10"/>
        <rFont val="Arial"/>
        <family val="2"/>
      </rPr>
      <t>User Acceptance Testing</t>
    </r>
  </si>
  <si>
    <t>- Ethics committee or external review</t>
  </si>
  <si>
    <r>
      <rPr>
        <b/>
        <sz val="10"/>
        <rFont val="Arial"/>
        <family val="2"/>
      </rPr>
      <t>Ethical Review</t>
    </r>
  </si>
  <si>
    <t>- Edge case and adversarial input testing</t>
  </si>
  <si>
    <r>
      <rPr>
        <b/>
        <sz val="10"/>
        <rFont val="Arial"/>
        <family val="2"/>
      </rPr>
      <t>Stress Testing</t>
    </r>
  </si>
  <si>
    <t>- Demographic group performance analysis</t>
  </si>
  <si>
    <r>
      <rPr>
        <b/>
        <sz val="10"/>
        <rFont val="Arial"/>
        <family val="2"/>
      </rPr>
      <t>Bias Testing</t>
    </r>
  </si>
  <si>
    <t>Results</t>
  </si>
  <si>
    <t>Testing Phase</t>
  </si>
  <si>
    <t>3. Testing and Validation</t>
  </si>
  <si>
    <t>☐ Implemented ☐ Planned ☐ N/A</t>
  </si>
  <si>
    <t>☐ Required ☐ Not Required</t>
  </si>
  <si>
    <t>Human has final authority and responsibility</t>
  </si>
  <si>
    <r>
      <rPr>
        <b/>
        <sz val="10"/>
        <rFont val="Arial"/>
        <family val="2"/>
      </rPr>
      <t>Human-in-Command</t>
    </r>
  </si>
  <si>
    <t>Human monitoring with ability to intervene</t>
  </si>
  <si>
    <r>
      <rPr>
        <b/>
        <sz val="10"/>
        <rFont val="Arial"/>
        <family val="2"/>
      </rPr>
      <t>Human-on-the-Loop</t>
    </r>
  </si>
  <si>
    <t>Human approval required for each decision</t>
  </si>
  <si>
    <r>
      <rPr>
        <b/>
        <sz val="10"/>
        <rFont val="Arial"/>
        <family val="2"/>
      </rPr>
      <t>Human-in-the-Loop</t>
    </r>
  </si>
  <si>
    <t>Implementation Status</t>
  </si>
  <si>
    <t>Requirement</t>
  </si>
  <si>
    <t>Oversight Level</t>
  </si>
  <si>
    <t>2. Human Oversight Requirements</t>
  </si>
  <si>
    <t>External customer or public interaction</t>
  </si>
  <si>
    <t>☐ Low ☐ Med ☐ High</t>
  </si>
  <si>
    <t>☐</t>
  </si>
  <si>
    <r>
      <rPr>
        <b/>
        <sz val="10"/>
        <rFont val="Arial"/>
        <family val="2"/>
      </rPr>
      <t>Public-Facing Systems</t>
    </r>
  </si>
  <si>
    <t>Potential for physical or financial harm</t>
  </si>
  <si>
    <r>
      <rPr>
        <b/>
        <sz val="10"/>
        <rFont val="Arial"/>
        <family val="2"/>
      </rPr>
      <t>Safety-Critical Applications</t>
    </r>
  </si>
  <si>
    <t>Processing personal or confidential data</t>
  </si>
  <si>
    <r>
      <rPr>
        <b/>
        <sz val="10"/>
        <rFont val="Arial"/>
        <family val="2"/>
      </rPr>
      <t>Sensitive Data Processing</t>
    </r>
  </si>
  <si>
    <t>Decisions significantly affecting individuals</t>
  </si>
  <si>
    <r>
      <rPr>
        <b/>
        <sz val="10"/>
        <rFont val="Arial"/>
        <family val="2"/>
      </rPr>
      <t>Automated Decision-Making</t>
    </r>
  </si>
  <si>
    <t>Mitigation Strategy</t>
  </si>
  <si>
    <t>Impact</t>
  </si>
  <si>
    <t>Likelihood</t>
  </si>
  <si>
    <t>Applicable</t>
  </si>
  <si>
    <t>Risk Scenario</t>
  </si>
  <si>
    <t>Check all that apply and provide mitigation strategies</t>
  </si>
  <si>
    <t>High-Risk Scenario Evaluation</t>
  </si>
  <si>
    <t>1. Risk Assessment and Management</t>
  </si>
  <si>
    <t>C. Implementation Governance Checklist</t>
  </si>
  <si>
    <t>☐ Documented</t>
  </si>
  <si>
    <t>Review process documented</t>
  </si>
  <si>
    <t>☐ Scheduled</t>
  </si>
  <si>
    <t>Regular audit schedule defined</t>
  </si>
  <si>
    <r>
      <rPr>
        <b/>
        <sz val="10"/>
        <rFont val="Arial"/>
        <family val="2"/>
      </rPr>
      <t>Audit and Review</t>
    </r>
  </si>
  <si>
    <t>☐ Assigned</t>
  </si>
  <si>
    <t>Incident response responsibility</t>
  </si>
  <si>
    <t>Ongoing maintenance responsibility</t>
  </si>
  <si>
    <t>System development responsibility</t>
  </si>
  <si>
    <r>
      <rPr>
        <b/>
        <sz val="10"/>
        <rFont val="Arial"/>
        <family val="2"/>
      </rPr>
      <t>Responsibility Assignment</t>
    </r>
  </si>
  <si>
    <t>☐ Defined</t>
  </si>
  <si>
    <t>Who can override AI recommendations?</t>
  </si>
  <si>
    <t>Who has final authority over AI decisions?</t>
  </si>
  <si>
    <r>
      <rPr>
        <b/>
        <sz val="10"/>
        <rFont val="Arial"/>
        <family val="2"/>
      </rPr>
      <t>Decision Authority</t>
    </r>
  </si>
  <si>
    <t>Approval</t>
  </si>
  <si>
    <t>Contact Info</t>
  </si>
  <si>
    <t>Accountability Element</t>
  </si>
  <si>
    <t>Establish clear accountability for AI decisions and outcomes</t>
  </si>
  <si>
    <t>4. Accountability and Responsibility</t>
  </si>
  <si>
    <t>☐ Compliant ☐ Partial ☐ Non-compliant</t>
  </si>
  <si>
    <t>Industry-specific regulations addressed</t>
  </si>
  <si>
    <t>CCPA compliance (if applicable)</t>
  </si>
  <si>
    <t>GDPR compliance (if applicable)</t>
  </si>
  <si>
    <r>
      <rPr>
        <b/>
        <sz val="10"/>
        <rFont val="Arial"/>
        <family val="2"/>
      </rPr>
      <t>Regulatory Compliance</t>
    </r>
  </si>
  <si>
    <t>Access controls and encryption in place</t>
  </si>
  <si>
    <t>Appropriate technical safeguards implemented</t>
  </si>
  <si>
    <r>
      <rPr>
        <b/>
        <sz val="10"/>
        <rFont val="Arial"/>
        <family val="2"/>
      </rPr>
      <t>Data Security</t>
    </r>
  </si>
  <si>
    <t>Users can withdraw consent easily</t>
  </si>
  <si>
    <t>Valid consent obtained for data use</t>
  </si>
  <si>
    <r>
      <rPr>
        <b/>
        <sz val="10"/>
        <rFont val="Arial"/>
        <family val="2"/>
      </rPr>
      <t>Consent Management</t>
    </r>
  </si>
  <si>
    <t>Data retention policies are defined and followed</t>
  </si>
  <si>
    <t>Only necessary data is collected and used</t>
  </si>
  <si>
    <r>
      <rPr>
        <b/>
        <sz val="10"/>
        <rFont val="Arial"/>
        <family val="2"/>
      </rPr>
      <t>Data Minimization</t>
    </r>
  </si>
  <si>
    <t>Evidence</t>
  </si>
  <si>
    <t>Compliance Status</t>
  </si>
  <si>
    <t>Privacy Principle</t>
  </si>
  <si>
    <t>Protect individual privacy and comply with data regulations</t>
  </si>
  <si>
    <t>3. Privacy and Data Protection</t>
  </si>
  <si>
    <t>☐ Yes ☐ No</t>
  </si>
  <si>
    <t>Similar individuals treated similarly</t>
  </si>
  <si>
    <t>Individual fairness</t>
  </si>
  <si>
    <t>Equal false positive/negative rates</t>
  </si>
  <si>
    <t>Equalized odds</t>
  </si>
  <si>
    <t>Equal true positive rates</t>
  </si>
  <si>
    <t>Equal outcomes across groups</t>
  </si>
  <si>
    <t>Compliant</t>
  </si>
  <si>
    <t>Fairness Criteria</t>
  </si>
  <si>
    <t>Fairness Metrics Implementation</t>
  </si>
  <si>
    <t>- Inappropriate benchmarks or testing</t>
  </si>
  <si>
    <t>☐ High ☐ Medium ☐ Low</t>
  </si>
  <si>
    <r>
      <rPr>
        <b/>
        <sz val="10"/>
        <rFont val="Arial"/>
        <family val="2"/>
      </rPr>
      <t>Evaluation Bias</t>
    </r>
  </si>
  <si>
    <t>- Different quality metrics for different groups</t>
  </si>
  <si>
    <r>
      <rPr>
        <b/>
        <sz val="10"/>
        <rFont val="Arial"/>
        <family val="2"/>
      </rPr>
      <t>Measurement Bias</t>
    </r>
  </si>
  <si>
    <t>- Underrepresentation of certain groups</t>
  </si>
  <si>
    <r>
      <rPr>
        <b/>
        <sz val="10"/>
        <rFont val="Arial"/>
        <family val="2"/>
      </rPr>
      <t>Representation Bias</t>
    </r>
  </si>
  <si>
    <t>- Training data reflects past discrimination</t>
  </si>
  <si>
    <r>
      <rPr>
        <b/>
        <sz val="10"/>
        <rFont val="Arial"/>
        <family val="2"/>
      </rPr>
      <t>Historical Bias</t>
    </r>
  </si>
  <si>
    <t>Mitigation Plan</t>
  </si>
  <si>
    <t>Bias Level</t>
  </si>
  <si>
    <t>Assessment Complete</t>
  </si>
  <si>
    <t>Bias Type</t>
  </si>
  <si>
    <t>Bias Detection Checklist</t>
  </si>
  <si>
    <t>Ensure equitable treatment and prevent bias</t>
  </si>
  <si>
    <t>2. Fairness and Non-Discrimination</t>
  </si>
  <si>
    <t>☐ Complete ☐ Partial ☐ Missing</t>
  </si>
  <si>
    <t>Are limitations and capabilities clearly stated?</t>
  </si>
  <si>
    <t>Is the AI system's functionality clearly documented?</t>
  </si>
  <si>
    <r>
      <rPr>
        <b/>
        <sz val="10"/>
        <rFont val="Arial"/>
        <family val="2"/>
      </rPr>
      <t>Documentation</t>
    </r>
  </si>
  <si>
    <t>Are explanation mechanisms built into the system?</t>
  </si>
  <si>
    <t>Can AI decisions be explained in understandable terms?</t>
  </si>
  <si>
    <r>
      <rPr>
        <b/>
        <sz val="10"/>
        <rFont val="Arial"/>
        <family val="2"/>
      </rPr>
      <t>Explainability</t>
    </r>
  </si>
  <si>
    <t>Are users informed about AI-generated content/decisions?</t>
  </si>
  <si>
    <t>Is it clearly disclosed when AI is being used?</t>
  </si>
  <si>
    <r>
      <rPr>
        <b/>
        <sz val="10"/>
        <rFont val="Arial"/>
        <family val="2"/>
      </rPr>
      <t>AI Disclosure</t>
    </r>
  </si>
  <si>
    <t>Evidence/Documentation</t>
  </si>
  <si>
    <t>Ensure AI systems are transparent and decisions can be explained</t>
  </si>
  <si>
    <t>1. Transparency and Explainability</t>
  </si>
  <si>
    <t>B. Core Ethical Principles Assessment</t>
  </si>
  <si>
    <t>☐ Approved ☐ Under Review</t>
  </si>
  <si>
    <t>Community/Society</t>
  </si>
  <si>
    <t>Suppliers/Partners</t>
  </si>
  <si>
    <t>Approval Status</t>
  </si>
  <si>
    <t>Potential Impact</t>
  </si>
  <si>
    <t>Stakeholder Group</t>
  </si>
  <si>
    <t>External Stakeholders</t>
  </si>
  <si>
    <t>IT Department</t>
  </si>
  <si>
    <t>Internal Stakeholders</t>
  </si>
  <si>
    <t>2. Stakeholder Impact Analysis</t>
  </si>
  <si>
    <t>Is there a clear business justification that outweighs potential risks?</t>
  </si>
  <si>
    <t>Have we considered all stakeholders affected by this GenAI implementation?</t>
  </si>
  <si>
    <t>Could the GenAI system be used for harmful or discriminatory purposes?</t>
  </si>
  <si>
    <t>Does the GenAI application serve legitimate business objectives?</t>
  </si>
  <si>
    <t>Is the intended use of GenAI clearly defined and documented?</t>
  </si>
  <si>
    <t>No</t>
  </si>
  <si>
    <t>Yes</t>
  </si>
  <si>
    <t>Ethical Question</t>
  </si>
  <si>
    <t>Before implementing any GenAI solution, assess:</t>
  </si>
  <si>
    <t>1. Purpose and Intent Evaluation</t>
  </si>
  <si>
    <t>A. Pre-Implementation Ethical Assessment</t>
  </si>
  <si>
    <t>This comprehensive checklist ensures responsible and ethical implementation of GenAI technologies across all organizational functions. It provides structured guidance for ethical decision-making at every stage of GenAI adoption.</t>
  </si>
  <si>
    <t>Executive Overview</t>
  </si>
  <si>
    <t>GenAI Ethical Decision-Making Checklist</t>
  </si>
  <si>
    <t>Use this guide as a live document during each negotiation stage. Update the matrices and checklists as positions evolve. Upon deal completion, archive the final version for audit and knowledge sharing.</t>
  </si>
  <si>
    <t xml:space="preserve"> Monthly steering committee, quarterly executive review.</t>
  </si>
  <si>
    <t>Governance:</t>
  </si>
  <si>
    <t>Full rollout: Mar-2026</t>
  </si>
  <si>
    <t>Pilot launch: Nov-2025</t>
  </si>
  <si>
    <t>Average recommendation click-through ≥ 18%</t>
  </si>
  <si>
    <t>Markdown reduction ≥ 15%</t>
  </si>
  <si>
    <t>Conversion uplift ≥ 25% within 12 months</t>
  </si>
  <si>
    <t>Key Metrics:</t>
  </si>
  <si>
    <t xml:space="preserve"> Deploy GenAI style recommender to increase online conversion by 25% and reduce stockouts.</t>
  </si>
  <si>
    <t>Objective:</t>
  </si>
  <si>
    <t>XXXXXXXXXX. (FNR) &amp; AIStyle Inc. (AIS)</t>
  </si>
  <si>
    <t>Parties:</t>
  </si>
  <si>
    <t>C. Filled-In Summary Sheet (Apparel Example)</t>
  </si>
  <si>
    <t>CEO &amp; Partner CEO</t>
  </si>
  <si>
    <t>Contract Execution</t>
  </si>
  <si>
    <t>Board Strategy Committee</t>
  </si>
  <si>
    <t>Board Approval</t>
  </si>
  <si>
    <t>CFO</t>
  </si>
  <si>
    <t>Financial Sign-off</t>
  </si>
  <si>
    <t>General Counsel</t>
  </si>
  <si>
    <t>Legal Contract Review</t>
  </si>
  <si>
    <t>Deal Checklist Review</t>
  </si>
  <si>
    <t>Approver</t>
  </si>
  <si>
    <t>Stage</t>
  </si>
  <si>
    <t>5. Decision &amp; Approval Workflow</t>
  </si>
  <si>
    <t>Next steps &amp; action items</t>
  </si>
  <si>
    <t>Governance &amp; collaboration model</t>
  </si>
  <si>
    <t>Risk &amp; compliance considerations</t>
  </si>
  <si>
    <t>Discussion of key deal terms (Fees, Data, IP, SLAs)</t>
  </si>
  <si>
    <t>Review of strategic objectives</t>
  </si>
  <si>
    <t>Introductions &amp; goals</t>
  </si>
  <si>
    <t>4. Negotiation Agenda Template</t>
  </si>
  <si>
    <t>Marketing Heads</t>
  </si>
  <si>
    <t>Joint comms plan</t>
  </si>
  <si>
    <t>Reputational Risk</t>
  </si>
  <si>
    <t>Both parties</t>
  </si>
  <si>
    <t>Mutual indemnity</t>
  </si>
  <si>
    <t>IP Infringement</t>
  </si>
  <si>
    <t>Procurement Lead</t>
  </si>
  <si>
    <t>SLA penalties up to 15% fees</t>
  </si>
  <si>
    <t>Performance Failure</t>
  </si>
  <si>
    <t>Chief Data Officer</t>
  </si>
  <si>
    <t>Quarterly fairness audit</t>
  </si>
  <si>
    <t>Model Bias</t>
  </si>
  <si>
    <t>Legal Counsel</t>
  </si>
  <si>
    <t>Privacy impact assessment &amp; DPA</t>
  </si>
  <si>
    <t>Data Privacy (GDPR/CCPA)</t>
  </si>
  <si>
    <t>Risk Area</t>
  </si>
  <si>
    <t>3. Risk &amp; Compliance Checklist</t>
  </si>
  <si>
    <t>60-day cure; data purge in 30 days</t>
  </si>
  <si>
    <t>90-day</t>
  </si>
  <si>
    <t>60-day cure; data deletion</t>
  </si>
  <si>
    <t>Exit Clauses</t>
  </si>
  <si>
    <t>99.9% uptime + penalty credits</t>
  </si>
  <si>
    <t>99.5% uptime</t>
  </si>
  <si>
    <t>99.9% uptime, 24/7 support</t>
  </si>
  <si>
    <t>Service Levels</t>
  </si>
  <si>
    <t>Joint IP with revenue split 60/40</t>
  </si>
  <si>
    <t>Partner owns all</t>
  </si>
  <si>
    <t>Joint IP on co-developed modules</t>
  </si>
  <si>
    <t>IP Ownership</t>
  </si>
  <si>
    <t>Partner uses anonymized data; no resale</t>
  </si>
  <si>
    <t>Shared rights for model training</t>
  </si>
  <si>
    <t>Retain full ownership; limited usage</t>
  </si>
  <si>
    <t>Data Rights</t>
  </si>
  <si>
    <t>Year 1: $1.2M, Years 2-3: rev-share above 5M sessions</t>
  </si>
  <si>
    <t>Fixed annual</t>
  </si>
  <si>
    <t>Tiered by usage</t>
  </si>
  <si>
    <t>License Fees</t>
  </si>
  <si>
    <t>3 years with 2-year renewal option</t>
  </si>
  <si>
    <t>2 years</t>
  </si>
  <si>
    <t>3 years</t>
  </si>
  <si>
    <t>Contract Length</t>
  </si>
  <si>
    <t>Agreed Outcome</t>
  </si>
  <si>
    <t>Partner Position</t>
  </si>
  <si>
    <t>Apparel Position</t>
  </si>
  <si>
    <t>Term</t>
  </si>
  <si>
    <t>2. Key Deal Terms Matrix</t>
  </si>
  <si>
    <t>Co-develop IP &amp; share royalties</t>
  </si>
  <si>
    <t>Boost merchandising differentiation</t>
  </si>
  <si>
    <t>Joint development of visual style recommender</t>
  </si>
  <si>
    <t>Reduce markdowns by 20%</t>
  </si>
  <si>
    <t>Improve demand forecasting accuracy</t>
  </si>
  <si>
    <t>Access proprietary customer data for model training</t>
  </si>
  <si>
    <t>Increase average basket size by 30%</t>
  </si>
  <si>
    <t>Personalize customer experience</t>
  </si>
  <si>
    <t>Expand AI platform into fashion vertical</t>
  </si>
  <si>
    <t>Mutual Value</t>
  </si>
  <si>
    <t>Company Goal</t>
  </si>
  <si>
    <t>Partner Goal</t>
  </si>
  <si>
    <t>1. Value Creation &amp; Shared Objectives</t>
  </si>
  <si>
    <t>B. Negotiation Framework</t>
  </si>
  <si>
    <t>CIO leads; final approval by CEO &amp; Board</t>
  </si>
  <si>
    <t>Establish authority and decision rights</t>
  </si>
  <si>
    <t>In-house AI pilot with existing data science team</t>
  </si>
  <si>
    <t>Determine BATNA (Best Alternative to Negotiated Agreement)</t>
  </si>
  <si>
    <t>Benchmark retail AI deals, competitor analysis</t>
  </si>
  <si>
    <t>Gather market intelligence</t>
  </si>
  <si>
    <t>CEO, CIO, Head of Merchandising, Legal Counsel</t>
  </si>
  <si>
    <t>Assemble negotiation team</t>
  </si>
  <si>
    <t>Shortlisted: AIStyle, TrendAI, PersonaFit</t>
  </si>
  <si>
    <t>Identify potential partners</t>
  </si>
  <si>
    <t>Improve customer personalization &amp; inventory optimization</t>
  </si>
  <si>
    <t>Define strategic objectives</t>
  </si>
  <si>
    <t>Complete</t>
  </si>
  <si>
    <t>Task</t>
  </si>
  <si>
    <t>A. Negotiation Preparation Checklist</t>
  </si>
  <si>
    <t xml:space="preserve">This guide provides a structured template for negotiating GenAI partnerships, with a filled-in example tailored to the </t>
  </si>
  <si>
    <t>PARTNERSHIP NEGOTIATION GUIDE &amp; TEMPLATE</t>
  </si>
  <si>
    <t>GenAI Partnership Negotiation Guide</t>
  </si>
  <si>
    <t>This toolkit should be tailored for each major GenAI initiative. Use the templates provided, update weekly, and share progress with the executive steering committee.</t>
  </si>
  <si>
    <t>Escalate blockers to steering committee</t>
  </si>
  <si>
    <t>Adjust comms &amp; training schedules</t>
  </si>
  <si>
    <t>Celebrate quick wins publicly</t>
  </si>
  <si>
    <t>Address new resistance signals</t>
  </si>
  <si>
    <t>Track KPI dashboard updates</t>
  </si>
  <si>
    <t>Check stakeholder engagement status</t>
  </si>
  <si>
    <t>Review ADKAR scores with team</t>
  </si>
  <si>
    <t>H. Change Leader’s Checklist (Weekly)</t>
  </si>
  <si>
    <t>Legend: ■ = activity active; □ = prep</t>
  </si>
  <si>
    <t>■</t>
  </si>
  <si>
    <t>Reinforcement &amp; optimization</t>
  </si>
  <si>
    <t>Enterprise rollout</t>
  </si>
  <si>
    <t>Scale decision</t>
  </si>
  <si>
    <t>Pilot run</t>
  </si>
  <si>
    <t>Training wave 1</t>
  </si>
  <si>
    <t>Pilot setup</t>
  </si>
  <si>
    <t>Vision &amp; kick-off</t>
  </si>
  <si>
    <t>Month 5-6</t>
  </si>
  <si>
    <t>Month 4</t>
  </si>
  <si>
    <t>Month 3</t>
  </si>
  <si>
    <t>Month 2</t>
  </si>
  <si>
    <t>Month 1</t>
  </si>
  <si>
    <t>Phase</t>
  </si>
  <si>
    <t>G. Change Adoption Timeline (Gantt Overview)</t>
  </si>
  <si>
    <t xml:space="preserve"> Use Power BI to visualize adoption, conversion, and NPS trends.</t>
  </si>
  <si>
    <t>Dashboard:</t>
  </si>
  <si>
    <t>+25% Year 1</t>
  </si>
  <si>
    <t>Net benefit vs. cost</t>
  </si>
  <si>
    <t>ROI</t>
  </si>
  <si>
    <t>Employee NPS</t>
  </si>
  <si>
    <t>Satisfaction</t>
  </si>
  <si>
    <t>Merch Ops</t>
  </si>
  <si>
    <t>Forecast accuracy</t>
  </si>
  <si>
    <t>Efficiency</t>
  </si>
  <si>
    <t>E-com Analytics</t>
  </si>
  <si>
    <t>2.9%</t>
  </si>
  <si>
    <t>2.3%</t>
  </si>
  <si>
    <t>Online conversion uplift</t>
  </si>
  <si>
    <t>Performance</t>
  </si>
  <si>
    <t>PMO</t>
  </si>
  <si>
    <t>% Employees using AI tools daily</t>
  </si>
  <si>
    <t>Adoption</t>
  </si>
  <si>
    <t>Frequency</t>
  </si>
  <si>
    <t>KPI</t>
  </si>
  <si>
    <t>F. Success Metrics &amp; Monitoring</t>
  </si>
  <si>
    <t>Months 1-6</t>
  </si>
  <si>
    <t>L&amp;D</t>
  </si>
  <si>
    <t>Intensive upskilling &amp; mentoring</t>
  </si>
  <si>
    <t>Limited AI expertise</t>
  </si>
  <si>
    <t>Skill shortage</t>
  </si>
  <si>
    <t>Legal</t>
  </si>
  <si>
    <t>Clear policy &amp; training</t>
  </si>
  <si>
    <t>Customer data usage</t>
  </si>
  <si>
    <t>Data privacy concerns</t>
  </si>
  <si>
    <t>Data Science</t>
  </si>
  <si>
    <t>Provide explainable AI dashboards</t>
  </si>
  <si>
    <t>Black-box perception</t>
  </si>
  <si>
    <t>Trust in AI recommendations</t>
  </si>
  <si>
    <t>Emphasize augmentation, show success stories</t>
  </si>
  <si>
    <t>Automation anxiety</t>
  </si>
  <si>
    <t>Fear of job loss</t>
  </si>
  <si>
    <t>Mitigation Tactic</t>
  </si>
  <si>
    <t>Root Cause</t>
  </si>
  <si>
    <t>Expected Resistance</t>
  </si>
  <si>
    <t>E. Resistance Management Plan</t>
  </si>
  <si>
    <t>Badge</t>
  </si>
  <si>
    <t>3h webinar</t>
  </si>
  <si>
    <t>SuperAgent AI</t>
  </si>
  <si>
    <t>AI copilot chat</t>
  </si>
  <si>
    <t>Customer Support</t>
  </si>
  <si>
    <t>Certificate</t>
  </si>
  <si>
    <t>1-day bootcamp</t>
  </si>
  <si>
    <t>Apparel 360</t>
  </si>
  <si>
    <t>Fashion domain knowledge</t>
  </si>
  <si>
    <t>Data Scientist</t>
  </si>
  <si>
    <t>Exam</t>
  </si>
  <si>
    <t>2-day workshop</t>
  </si>
  <si>
    <t>Demand AI Pro</t>
  </si>
  <si>
    <t>Forecasting with AI</t>
  </si>
  <si>
    <t>Merchant Planner</t>
  </si>
  <si>
    <t>Digital Badge</t>
  </si>
  <si>
    <t>4h self-paced</t>
  </si>
  <si>
    <t>AI Stylist 101</t>
  </si>
  <si>
    <t>AI-assisted styling</t>
  </si>
  <si>
    <t>Store Associate</t>
  </si>
  <si>
    <t>Certification</t>
  </si>
  <si>
    <t>Duration</t>
  </si>
  <si>
    <t>Training Module</t>
  </si>
  <si>
    <t>Skill Gap</t>
  </si>
  <si>
    <t>D. Training &amp; Upskilling Roadmap</t>
  </si>
  <si>
    <t>Supply Chain VP</t>
  </si>
  <si>
    <t>Week 4</t>
  </si>
  <si>
    <t>Newsletter</t>
  </si>
  <si>
    <t>Forecast accuracy improvement</t>
  </si>
  <si>
    <t>Suppliers</t>
  </si>
  <si>
    <t>CS Lead</t>
  </si>
  <si>
    <t>E-learning</t>
  </si>
  <si>
    <t>AI assistant demo &amp; SOP</t>
  </si>
  <si>
    <t>Customer Service Reps</t>
  </si>
  <si>
    <t>Data Team</t>
  </si>
  <si>
    <t>Week 3</t>
  </si>
  <si>
    <t>Workshop</t>
  </si>
  <si>
    <t>Data flow changes &amp; new dashboard</t>
  </si>
  <si>
    <t>Merchandising Analysts</t>
  </si>
  <si>
    <t>HR L&amp;D</t>
  </si>
  <si>
    <t>Week 2</t>
  </si>
  <si>
    <t>Webinar</t>
  </si>
  <si>
    <t>Pilot overview &amp; training schedule</t>
  </si>
  <si>
    <t>Store Managers</t>
  </si>
  <si>
    <t>CEO</t>
  </si>
  <si>
    <t>Week 1</t>
  </si>
  <si>
    <t>CEO Video</t>
  </si>
  <si>
    <t>GenAI Vision &amp; Benefits</t>
  </si>
  <si>
    <t>All Employees</t>
  </si>
  <si>
    <t>Timing</t>
  </si>
  <si>
    <t>Channel</t>
  </si>
  <si>
    <t>Message</t>
  </si>
  <si>
    <t>Audience</t>
  </si>
  <si>
    <t>C. Communication Plan Template</t>
  </si>
  <si>
    <t>Monthly scorecards</t>
  </si>
  <si>
    <t>ROI, risk management</t>
  </si>
  <si>
    <t>H</t>
  </si>
  <si>
    <t>Executive Board</t>
  </si>
  <si>
    <t>Ops Director</t>
  </si>
  <si>
    <t>Town halls, dashboards</t>
  </si>
  <si>
    <t>Forecasting changes</t>
  </si>
  <si>
    <t>M</t>
  </si>
  <si>
    <t>Warehouse Ops</t>
  </si>
  <si>
    <t>Product Owner</t>
  </si>
  <si>
    <t>Joint sprint planning</t>
  </si>
  <si>
    <t>Integration with current CMS</t>
  </si>
  <si>
    <t>E-Commerce Team</t>
  </si>
  <si>
    <t>Pilot involvement, co-design sessions</t>
  </si>
  <si>
    <t>Data accuracy, workflow change</t>
  </si>
  <si>
    <t>Merchandising Team</t>
  </si>
  <si>
    <t>Change Lead</t>
  </si>
  <si>
    <t>In-store demos, training rewards</t>
  </si>
  <si>
    <t>Job displacement, training</t>
  </si>
  <si>
    <t>Store Associates</t>
  </si>
  <si>
    <t>Engagement Strategy</t>
  </si>
  <si>
    <t>Key Concerns</t>
  </si>
  <si>
    <t>Influence (H/M/L)</t>
  </si>
  <si>
    <t>Impact Level (H/M/L)</t>
  </si>
  <si>
    <t>B. Stakeholder Analysis &amp; Engagement Plan</t>
  </si>
  <si>
    <t xml:space="preserve"> Launch communication campaign &amp; intensive “AI Stylist Academy” training.</t>
  </si>
  <si>
    <t>Priority Action:</t>
  </si>
  <si>
    <t xml:space="preserve"> Awareness (3), Desire (2), Knowledge (2), Ability (1), Reinforcement (1)</t>
  </si>
  <si>
    <t>Sample Apparel Scores:</t>
  </si>
  <si>
    <t>Are mechanisms in place to sustain GenAI usage?</t>
  </si>
  <si>
    <t>Reinforcement</t>
  </si>
  <si>
    <t>Do employees have the skills to use AI tools?</t>
  </si>
  <si>
    <t>Ability</t>
  </si>
  <si>
    <t>Do employees know how GenAI will change their roles?</t>
  </si>
  <si>
    <t>Knowledge</t>
  </si>
  <si>
    <t>Are employees motivated to adopt GenAI tools?</t>
  </si>
  <si>
    <t>Desire</t>
  </si>
  <si>
    <t>Do employees understand why GenAI is critical?</t>
  </si>
  <si>
    <t>Awareness</t>
  </si>
  <si>
    <t>Assessment Question</t>
  </si>
  <si>
    <t>Dimension</t>
  </si>
  <si>
    <t>A. Change Readiness Assessment</t>
  </si>
  <si>
    <t>Context.</t>
  </si>
  <si>
    <t xml:space="preserve">This toolkit integrates change management best practices with GenAI adoption, referencing Prosci ADKAR and industry AI guidance. It provides templates, exercises, and communication plans for successful GenAI transformation in an </t>
  </si>
  <si>
    <t>Overview</t>
  </si>
  <si>
    <t>GenAI Change Management Toolkit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</si>
</sst>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</font>
    <font>
      <b/>
      <sz val="12"/>
      <color rgb="FFFFFFFF"/>
      <name val="Calibri"/>
    </font>
    <font>
      <i/>
      <sz val="9"/>
      <color rgb="FF666666"/>
      <name val="Arial"/>
    </font>
    <font>
      <b/>
      <sz val="11"/>
      <color rgb="FFFFFFFF"/>
      <name val="Calibri"/>
    </font>
    <font>
      <b/>
      <sz val="10"/>
      <color rgb="FF1F4E78"/>
      <name val="Calibri"/>
    </font>
    <font>
      <b/>
      <sz val="10"/>
      <color rgb="FFFFFFFF"/>
      <name val="Arial"/>
    </font>
    <font>
      <b/>
      <sz val="10"/>
      <name val="Arial"/>
    </font>
    <font>
      <sz val="10"/>
      <color theme="0"/>
      <name val="Arial"/>
      <family val="2"/>
    </font>
    <font>
      <sz val="10"/>
      <name val="Arial"/>
      <family val="2"/>
    </font>
    <font>
      <sz val="12"/>
      <color rgb="FF000000"/>
      <name val="Arial"/>
    </font>
    <font>
      <b/>
      <sz val="12"/>
      <color rgb="FF000000"/>
      <name val="Arial"/>
    </font>
    <font>
      <sz val="11"/>
      <name val="Arial"/>
      <family val="2"/>
    </font>
    <font>
      <sz val="14"/>
      <name val="Arial"/>
      <family val="2"/>
    </font>
    <font>
      <sz val="11"/>
      <color rgb="FF000000"/>
      <name val="Arial"/>
      <family val="2"/>
    </font>
    <font>
      <sz val="12"/>
      <name val="Arial"/>
      <family val="2"/>
    </font>
    <font>
      <sz val="20"/>
      <color rgb="FF006100"/>
      <name val="Aptos Narrow"/>
      <family val="2"/>
      <scheme val="minor"/>
    </font>
    <font>
      <sz val="12"/>
      <color rgb="FF00000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color rgb="FF000000"/>
      <name val="Arial"/>
      <family val="2"/>
    </font>
    <font>
      <b/>
      <sz val="12"/>
      <color rgb="FF00B0F0"/>
      <name val="Arial"/>
      <family val="2"/>
    </font>
    <font>
      <sz val="10"/>
      <color rgb="FF00000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i/>
      <sz val="11"/>
      <color rgb="FF006100"/>
      <name val="Aptos Narrow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  <xf numFmtId="0" fontId="29" fillId="0" borderId="0"/>
  </cellStyleXfs>
  <cellXfs count="100">
    <xf numFmtId="0" fontId="0" fillId="0" borderId="0" xfId="0"/>
    <xf numFmtId="0" fontId="0" fillId="34" borderId="0" xfId="0" applyFill="1"/>
    <xf numFmtId="0" fontId="0" fillId="36" borderId="0" xfId="0" applyFill="1"/>
    <xf numFmtId="0" fontId="0" fillId="38" borderId="0" xfId="0" applyFill="1"/>
    <xf numFmtId="0" fontId="0" fillId="37" borderId="0" xfId="0" applyFill="1"/>
    <xf numFmtId="0" fontId="0" fillId="40" borderId="0" xfId="0" applyFill="1"/>
    <xf numFmtId="0" fontId="0" fillId="41" borderId="0" xfId="0" applyFill="1"/>
    <xf numFmtId="0" fontId="0" fillId="0" borderId="0" xfId="0" applyAlignment="1">
      <alignment wrapText="1"/>
    </xf>
    <xf numFmtId="0" fontId="20" fillId="43" borderId="0" xfId="0" applyFont="1" applyFill="1"/>
    <xf numFmtId="0" fontId="0" fillId="44" borderId="0" xfId="0" applyFill="1"/>
    <xf numFmtId="0" fontId="21" fillId="0" borderId="0" xfId="42"/>
    <xf numFmtId="0" fontId="25" fillId="47" borderId="10" xfId="42" applyFont="1" applyFill="1" applyBorder="1" applyAlignment="1">
      <alignment horizontal="center" vertical="center" wrapText="1"/>
    </xf>
    <xf numFmtId="4" fontId="21" fillId="48" borderId="10" xfId="42" applyNumberFormat="1" applyFill="1" applyBorder="1"/>
    <xf numFmtId="4" fontId="21" fillId="49" borderId="10" xfId="42" applyNumberFormat="1" applyFill="1" applyBorder="1"/>
    <xf numFmtId="0" fontId="21" fillId="48" borderId="10" xfId="42" applyFill="1" applyBorder="1"/>
    <xf numFmtId="0" fontId="26" fillId="46" borderId="0" xfId="42" applyFont="1" applyFill="1"/>
    <xf numFmtId="4" fontId="27" fillId="47" borderId="10" xfId="42" applyNumberFormat="1" applyFont="1" applyFill="1" applyBorder="1"/>
    <xf numFmtId="0" fontId="21" fillId="0" borderId="10" xfId="42" applyBorder="1" applyAlignment="1">
      <alignment horizontal="center" vertical="center" wrapText="1"/>
    </xf>
    <xf numFmtId="4" fontId="21" fillId="49" borderId="10" xfId="42" applyNumberFormat="1" applyFill="1" applyBorder="1" applyAlignment="1">
      <alignment horizontal="center" vertical="center" wrapText="1"/>
    </xf>
    <xf numFmtId="0" fontId="21" fillId="50" borderId="10" xfId="42" applyFill="1" applyBorder="1" applyAlignment="1">
      <alignment horizontal="center" vertical="center" wrapText="1"/>
    </xf>
    <xf numFmtId="0" fontId="28" fillId="0" borderId="0" xfId="42" applyFont="1"/>
    <xf numFmtId="0" fontId="29" fillId="0" borderId="0" xfId="42" applyFont="1"/>
    <xf numFmtId="0" fontId="30" fillId="0" borderId="0" xfId="42" applyFont="1" applyAlignment="1">
      <alignment horizontal="left" vertical="center" wrapText="1"/>
    </xf>
    <xf numFmtId="0" fontId="31" fillId="0" borderId="0" xfId="42" applyFont="1" applyAlignment="1">
      <alignment horizontal="center" vertical="center" wrapText="1"/>
    </xf>
    <xf numFmtId="0" fontId="32" fillId="44" borderId="0" xfId="42" applyFont="1" applyFill="1" applyAlignment="1">
      <alignment horizontal="left"/>
    </xf>
    <xf numFmtId="0" fontId="21" fillId="0" borderId="0" xfId="42" applyAlignment="1">
      <alignment horizontal="right"/>
    </xf>
    <xf numFmtId="0" fontId="34" fillId="0" borderId="0" xfId="42" applyFont="1" applyAlignment="1">
      <alignment horizontal="right" vertical="center" wrapText="1"/>
    </xf>
    <xf numFmtId="0" fontId="21" fillId="44" borderId="0" xfId="42" applyFill="1"/>
    <xf numFmtId="0" fontId="30" fillId="0" borderId="0" xfId="42" applyFont="1" applyAlignment="1">
      <alignment horizontal="center" vertical="center" wrapText="1"/>
    </xf>
    <xf numFmtId="0" fontId="30" fillId="0" borderId="0" xfId="42" applyFont="1" applyAlignment="1">
      <alignment horizontal="right" vertical="center" wrapText="1"/>
    </xf>
    <xf numFmtId="0" fontId="33" fillId="39" borderId="0" xfId="42" applyFont="1" applyFill="1"/>
    <xf numFmtId="0" fontId="29" fillId="0" borderId="0" xfId="42" applyFont="1" applyAlignment="1">
      <alignment horizontal="right"/>
    </xf>
    <xf numFmtId="0" fontId="31" fillId="51" borderId="0" xfId="42" applyFont="1" applyFill="1" applyAlignment="1">
      <alignment horizontal="center" vertical="center" wrapText="1"/>
    </xf>
    <xf numFmtId="0" fontId="32" fillId="0" borderId="0" xfId="42" applyFont="1"/>
    <xf numFmtId="0" fontId="21" fillId="39" borderId="0" xfId="42" applyFill="1"/>
    <xf numFmtId="0" fontId="32" fillId="44" borderId="0" xfId="42" applyFont="1" applyFill="1"/>
    <xf numFmtId="0" fontId="32" fillId="0" borderId="0" xfId="42" applyFont="1" applyAlignment="1">
      <alignment horizontal="right"/>
    </xf>
    <xf numFmtId="0" fontId="21" fillId="52" borderId="0" xfId="42" applyFill="1"/>
    <xf numFmtId="0" fontId="35" fillId="52" borderId="0" xfId="42" applyFont="1" applyFill="1"/>
    <xf numFmtId="0" fontId="31" fillId="52" borderId="0" xfId="42" applyFont="1" applyFill="1" applyAlignment="1">
      <alignment horizontal="center" vertical="center" wrapText="1"/>
    </xf>
    <xf numFmtId="0" fontId="37" fillId="0" borderId="0" xfId="42" applyFont="1" applyAlignment="1">
      <alignment horizontal="left" vertical="center" wrapText="1"/>
    </xf>
    <xf numFmtId="0" fontId="37" fillId="0" borderId="0" xfId="42" applyFont="1" applyAlignment="1">
      <alignment horizontal="right" vertical="center" wrapText="1"/>
    </xf>
    <xf numFmtId="0" fontId="41" fillId="53" borderId="0" xfId="42" applyFont="1" applyFill="1" applyAlignment="1">
      <alignment horizontal="center" vertical="center" wrapText="1"/>
    </xf>
    <xf numFmtId="0" fontId="42" fillId="0" borderId="0" xfId="42" applyFont="1"/>
    <xf numFmtId="0" fontId="43" fillId="0" borderId="0" xfId="42" applyFont="1" applyAlignment="1">
      <alignment horizontal="left" vertical="center" wrapText="1"/>
    </xf>
    <xf numFmtId="0" fontId="43" fillId="0" borderId="0" xfId="42" applyFont="1" applyAlignment="1">
      <alignment horizontal="center" vertical="center" wrapText="1"/>
    </xf>
    <xf numFmtId="0" fontId="43" fillId="0" borderId="0" xfId="42" applyFont="1" applyAlignment="1">
      <alignment horizontal="right" vertical="center" wrapText="1"/>
    </xf>
    <xf numFmtId="0" fontId="41" fillId="0" borderId="0" xfId="42" applyFont="1" applyAlignment="1">
      <alignment horizontal="center" vertical="center" wrapText="1"/>
    </xf>
    <xf numFmtId="0" fontId="39" fillId="54" borderId="0" xfId="42" applyFont="1" applyFill="1"/>
    <xf numFmtId="0" fontId="39" fillId="55" borderId="0" xfId="42" applyFont="1" applyFill="1"/>
    <xf numFmtId="0" fontId="21" fillId="41" borderId="0" xfId="42" applyFill="1"/>
    <xf numFmtId="0" fontId="21" fillId="0" borderId="0" xfId="42" applyAlignment="1">
      <alignment wrapText="1"/>
    </xf>
    <xf numFmtId="0" fontId="32" fillId="35" borderId="0" xfId="42" applyFont="1" applyFill="1"/>
    <xf numFmtId="0" fontId="37" fillId="0" borderId="0" xfId="42" applyFont="1" applyAlignment="1">
      <alignment horizontal="center" vertical="center" wrapText="1"/>
    </xf>
    <xf numFmtId="0" fontId="35" fillId="35" borderId="0" xfId="42" applyFont="1" applyFill="1"/>
    <xf numFmtId="0" fontId="37" fillId="0" borderId="0" xfId="42" applyFont="1" applyAlignment="1">
      <alignment horizontal="center" vertical="center"/>
    </xf>
    <xf numFmtId="0" fontId="32" fillId="57" borderId="0" xfId="42" applyFont="1" applyFill="1"/>
    <xf numFmtId="0" fontId="35" fillId="53" borderId="0" xfId="42" applyFont="1" applyFill="1"/>
    <xf numFmtId="0" fontId="21" fillId="57" borderId="0" xfId="42" applyFill="1" applyAlignment="1">
      <alignment horizontal="center"/>
    </xf>
    <xf numFmtId="0" fontId="45" fillId="53" borderId="0" xfId="42" applyFont="1" applyFill="1"/>
    <xf numFmtId="0" fontId="32" fillId="53" borderId="0" xfId="42" applyFont="1" applyFill="1"/>
    <xf numFmtId="0" fontId="21" fillId="0" borderId="0" xfId="42" applyAlignment="1">
      <alignment horizontal="right" wrapText="1"/>
    </xf>
    <xf numFmtId="0" fontId="29" fillId="44" borderId="0" xfId="42" applyFont="1" applyFill="1"/>
    <xf numFmtId="0" fontId="39" fillId="39" borderId="0" xfId="42" applyFont="1" applyFill="1"/>
    <xf numFmtId="0" fontId="21" fillId="56" borderId="0" xfId="42" applyFill="1"/>
    <xf numFmtId="0" fontId="29" fillId="56" borderId="0" xfId="42" applyFont="1" applyFill="1"/>
    <xf numFmtId="0" fontId="21" fillId="0" borderId="0" xfId="42" applyAlignment="1">
      <alignment horizontal="center"/>
    </xf>
    <xf numFmtId="0" fontId="46" fillId="56" borderId="0" xfId="42" applyFont="1" applyFill="1"/>
    <xf numFmtId="0" fontId="21" fillId="38" borderId="0" xfId="42" applyFill="1"/>
    <xf numFmtId="0" fontId="29" fillId="0" borderId="0" xfId="43"/>
    <xf numFmtId="0" fontId="37" fillId="0" borderId="0" xfId="43" applyFont="1" applyAlignment="1">
      <alignment horizontal="left" vertical="center" wrapText="1"/>
    </xf>
    <xf numFmtId="0" fontId="41" fillId="0" borderId="0" xfId="43" applyFont="1" applyAlignment="1">
      <alignment horizontal="center" vertical="center" wrapText="1"/>
    </xf>
    <xf numFmtId="0" fontId="41" fillId="37" borderId="0" xfId="43" applyFont="1" applyFill="1" applyAlignment="1">
      <alignment horizontal="center" vertical="center" wrapText="1"/>
    </xf>
    <xf numFmtId="0" fontId="47" fillId="53" borderId="0" xfId="43" applyFont="1" applyFill="1"/>
    <xf numFmtId="0" fontId="37" fillId="0" borderId="0" xfId="43" applyFont="1" applyAlignment="1">
      <alignment horizontal="center" vertical="center" wrapText="1"/>
    </xf>
    <xf numFmtId="0" fontId="47" fillId="53" borderId="0" xfId="43" applyFont="1" applyFill="1" applyAlignment="1">
      <alignment horizontal="left"/>
    </xf>
    <xf numFmtId="0" fontId="6" fillId="2" borderId="0" xfId="6" applyAlignment="1">
      <alignment horizontal="left" wrapText="1"/>
    </xf>
    <xf numFmtId="0" fontId="48" fillId="2" borderId="0" xfId="6" applyFont="1" applyAlignment="1">
      <alignment horizontal="center"/>
    </xf>
    <xf numFmtId="0" fontId="29" fillId="0" borderId="0" xfId="43" applyAlignment="1">
      <alignment horizontal="left" vertical="top" wrapText="1"/>
    </xf>
    <xf numFmtId="0" fontId="32" fillId="44" borderId="0" xfId="42" applyFont="1" applyFill="1" applyAlignment="1">
      <alignment horizontal="left"/>
    </xf>
    <xf numFmtId="0" fontId="35" fillId="44" borderId="0" xfId="42" applyFont="1" applyFill="1" applyAlignment="1">
      <alignment horizontal="left"/>
    </xf>
    <xf numFmtId="0" fontId="33" fillId="39" borderId="0" xfId="42" applyFont="1" applyFill="1" applyAlignment="1">
      <alignment horizontal="left"/>
    </xf>
    <xf numFmtId="0" fontId="36" fillId="2" borderId="0" xfId="6" applyFont="1" applyAlignment="1">
      <alignment horizontal="center"/>
    </xf>
    <xf numFmtId="0" fontId="35" fillId="39" borderId="0" xfId="42" applyFont="1" applyFill="1" applyAlignment="1">
      <alignment horizontal="left"/>
    </xf>
    <xf numFmtId="0" fontId="32" fillId="0" borderId="0" xfId="42" applyFont="1" applyAlignment="1">
      <alignment horizontal="center"/>
    </xf>
    <xf numFmtId="0" fontId="44" fillId="56" borderId="0" xfId="42" applyFont="1" applyFill="1" applyAlignment="1">
      <alignment horizontal="center"/>
    </xf>
    <xf numFmtId="0" fontId="21" fillId="44" borderId="0" xfId="42" applyFill="1" applyAlignment="1">
      <alignment horizontal="left"/>
    </xf>
    <xf numFmtId="0" fontId="21" fillId="0" borderId="0" xfId="42" applyAlignment="1">
      <alignment horizontal="left" wrapText="1"/>
    </xf>
    <xf numFmtId="0" fontId="21" fillId="38" borderId="0" xfId="42" applyFill="1" applyAlignment="1">
      <alignment horizontal="left" wrapText="1"/>
    </xf>
    <xf numFmtId="0" fontId="19" fillId="33" borderId="0" xfId="0" applyFont="1" applyFill="1" applyAlignment="1">
      <alignment horizontal="center" vertical="center"/>
    </xf>
    <xf numFmtId="0" fontId="19" fillId="35" borderId="0" xfId="0" applyFont="1" applyFill="1" applyAlignment="1">
      <alignment horizontal="center" vertical="center"/>
    </xf>
    <xf numFmtId="0" fontId="18" fillId="37" borderId="0" xfId="0" applyFont="1" applyFill="1" applyAlignment="1">
      <alignment horizontal="center" vertical="center"/>
    </xf>
    <xf numFmtId="0" fontId="19" fillId="39" borderId="0" xfId="0" applyFont="1" applyFill="1" applyAlignment="1">
      <alignment horizontal="center" vertical="center"/>
    </xf>
    <xf numFmtId="0" fontId="6" fillId="2" borderId="0" xfId="6" applyAlignment="1">
      <alignment horizontal="center" vertical="center"/>
    </xf>
    <xf numFmtId="0" fontId="22" fillId="45" borderId="0" xfId="42" applyFont="1" applyFill="1" applyAlignment="1">
      <alignment horizontal="center" vertical="center" wrapText="1"/>
    </xf>
    <xf numFmtId="0" fontId="21" fillId="0" borderId="0" xfId="42"/>
    <xf numFmtId="0" fontId="23" fillId="0" borderId="0" xfId="42" applyFont="1" applyAlignment="1">
      <alignment horizontal="center" vertical="center" wrapText="1"/>
    </xf>
    <xf numFmtId="0" fontId="24" fillId="46" borderId="0" xfId="42" applyFont="1" applyFill="1" applyAlignment="1">
      <alignment horizontal="center" vertical="center" wrapText="1"/>
    </xf>
    <xf numFmtId="0" fontId="19" fillId="42" borderId="0" xfId="0" applyFont="1" applyFill="1" applyAlignment="1">
      <alignment horizontal="center" vertical="center"/>
    </xf>
    <xf numFmtId="0" fontId="19" fillId="41" borderId="0" xfId="0" applyFont="1" applyFill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D3A758A8-6D58-45DA-B8FB-AC0BCC5FAAC0}"/>
    <cellStyle name="Normal 2 2" xfId="43" xr:uid="{EEABEAF5-FF31-4756-B6BE-6CB351FCD83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47BB-7C66-4008-BBC4-C85DE7ACE537}">
  <dimension ref="A1:G147"/>
  <sheetViews>
    <sheetView topLeftCell="A2" zoomScale="130" zoomScaleNormal="130" workbookViewId="0">
      <selection activeCell="A25" sqref="A25"/>
    </sheetView>
  </sheetViews>
  <sheetFormatPr defaultColWidth="11.42578125" defaultRowHeight="12.75" x14ac:dyDescent="0.2"/>
  <cols>
    <col min="1" max="1" width="41.42578125" style="10" customWidth="1"/>
    <col min="2" max="2" width="28.7109375" style="10" customWidth="1"/>
    <col min="3" max="3" width="21.28515625" style="10" customWidth="1"/>
    <col min="4" max="4" width="24.5703125" style="10" customWidth="1"/>
    <col min="5" max="5" width="24.28515625" style="10" customWidth="1"/>
    <col min="6" max="6" width="11.42578125" style="10"/>
    <col min="7" max="7" width="14.7109375" style="10" customWidth="1"/>
    <col min="8" max="16384" width="11.42578125" style="10"/>
  </cols>
  <sheetData>
    <row r="1" spans="1:5" ht="26.25" x14ac:dyDescent="0.4">
      <c r="A1" s="82" t="s">
        <v>752</v>
      </c>
      <c r="B1" s="82"/>
      <c r="C1" s="82"/>
      <c r="D1" s="82"/>
      <c r="E1" s="82"/>
    </row>
    <row r="2" spans="1:5" ht="15" x14ac:dyDescent="0.2">
      <c r="A2" s="83" t="s">
        <v>751</v>
      </c>
      <c r="B2" s="83"/>
      <c r="C2" s="83"/>
      <c r="D2" s="83"/>
      <c r="E2" s="83"/>
    </row>
    <row r="3" spans="1:5" ht="14.25" x14ac:dyDescent="0.2">
      <c r="A3" s="36" t="s">
        <v>750</v>
      </c>
    </row>
    <row r="4" spans="1:5" ht="14.25" x14ac:dyDescent="0.2">
      <c r="A4" s="36" t="s">
        <v>749</v>
      </c>
    </row>
    <row r="5" spans="1:5" ht="14.25" x14ac:dyDescent="0.2">
      <c r="A5" s="36" t="s">
        <v>748</v>
      </c>
    </row>
    <row r="6" spans="1:5" ht="14.25" x14ac:dyDescent="0.2">
      <c r="A6" s="36" t="s">
        <v>747</v>
      </c>
    </row>
    <row r="7" spans="1:5" ht="14.25" x14ac:dyDescent="0.2">
      <c r="A7" s="36" t="s">
        <v>746</v>
      </c>
    </row>
    <row r="8" spans="1:5" ht="14.25" x14ac:dyDescent="0.2">
      <c r="A8" s="36" t="s">
        <v>745</v>
      </c>
    </row>
    <row r="9" spans="1:5" ht="14.25" x14ac:dyDescent="0.2">
      <c r="A9" s="36" t="s">
        <v>744</v>
      </c>
    </row>
    <row r="10" spans="1:5" ht="31.5" x14ac:dyDescent="0.2">
      <c r="A10" s="39" t="s">
        <v>743</v>
      </c>
      <c r="B10" s="39" t="s">
        <v>719</v>
      </c>
      <c r="C10" s="39" t="s">
        <v>742</v>
      </c>
      <c r="D10" s="39" t="s">
        <v>741</v>
      </c>
      <c r="E10" s="39" t="s">
        <v>740</v>
      </c>
    </row>
    <row r="11" spans="1:5" ht="15" x14ac:dyDescent="0.2">
      <c r="A11" s="26" t="s">
        <v>739</v>
      </c>
      <c r="B11" s="22"/>
      <c r="C11" s="22"/>
      <c r="D11" s="22"/>
      <c r="E11" s="22"/>
    </row>
    <row r="12" spans="1:5" ht="15" x14ac:dyDescent="0.2">
      <c r="A12" s="26" t="s">
        <v>738</v>
      </c>
      <c r="B12" s="22"/>
      <c r="C12" s="22"/>
      <c r="D12" s="22"/>
      <c r="E12" s="22"/>
    </row>
    <row r="13" spans="1:5" ht="15" x14ac:dyDescent="0.2">
      <c r="A13" s="26" t="s">
        <v>737</v>
      </c>
      <c r="B13" s="22"/>
      <c r="C13" s="22"/>
      <c r="D13" s="22"/>
      <c r="E13" s="22"/>
    </row>
    <row r="14" spans="1:5" ht="15" x14ac:dyDescent="0.2">
      <c r="A14" s="26" t="s">
        <v>736</v>
      </c>
      <c r="B14" s="22"/>
      <c r="C14" s="22"/>
      <c r="D14" s="22"/>
      <c r="E14" s="22"/>
    </row>
    <row r="15" spans="1:5" ht="15" x14ac:dyDescent="0.2">
      <c r="A15" s="26" t="s">
        <v>735</v>
      </c>
      <c r="B15" s="22"/>
      <c r="C15" s="22"/>
      <c r="D15" s="22"/>
      <c r="E15" s="22"/>
    </row>
    <row r="16" spans="1:5" ht="15" x14ac:dyDescent="0.2">
      <c r="A16" s="26" t="s">
        <v>734</v>
      </c>
      <c r="B16" s="22"/>
      <c r="C16" s="22"/>
      <c r="D16" s="22"/>
      <c r="E16" s="22"/>
    </row>
    <row r="18" spans="1:5" ht="14.25" x14ac:dyDescent="0.2">
      <c r="A18" s="33" t="s">
        <v>733</v>
      </c>
      <c r="B18" s="10" t="s">
        <v>691</v>
      </c>
    </row>
    <row r="20" spans="1:5" ht="15" x14ac:dyDescent="0.2">
      <c r="A20" s="38" t="s">
        <v>732</v>
      </c>
      <c r="B20" s="37"/>
      <c r="C20" s="37"/>
      <c r="D20" s="37"/>
      <c r="E20" s="37"/>
    </row>
    <row r="21" spans="1:5" ht="14.25" x14ac:dyDescent="0.2">
      <c r="A21" s="84" t="s">
        <v>731</v>
      </c>
      <c r="B21" s="84"/>
    </row>
    <row r="22" spans="1:5" ht="14.25" x14ac:dyDescent="0.2">
      <c r="A22" s="36" t="s">
        <v>730</v>
      </c>
      <c r="B22" s="21" t="s">
        <v>725</v>
      </c>
    </row>
    <row r="23" spans="1:5" ht="14.25" x14ac:dyDescent="0.2">
      <c r="A23" s="36" t="s">
        <v>729</v>
      </c>
      <c r="B23" s="21" t="s">
        <v>725</v>
      </c>
    </row>
    <row r="24" spans="1:5" ht="14.25" x14ac:dyDescent="0.2">
      <c r="A24" s="36" t="s">
        <v>728</v>
      </c>
      <c r="B24" s="21" t="s">
        <v>725</v>
      </c>
    </row>
    <row r="25" spans="1:5" ht="14.25" x14ac:dyDescent="0.2">
      <c r="A25" s="36" t="s">
        <v>727</v>
      </c>
      <c r="B25" s="21" t="s">
        <v>725</v>
      </c>
    </row>
    <row r="26" spans="1:5" ht="14.25" x14ac:dyDescent="0.2">
      <c r="A26" s="36" t="s">
        <v>726</v>
      </c>
      <c r="B26" s="21" t="s">
        <v>725</v>
      </c>
    </row>
    <row r="27" spans="1:5" ht="14.25" x14ac:dyDescent="0.2">
      <c r="A27" s="36" t="s">
        <v>724</v>
      </c>
      <c r="B27" s="21" t="s">
        <v>723</v>
      </c>
    </row>
    <row r="28" spans="1:5" x14ac:dyDescent="0.2">
      <c r="B28" s="21"/>
    </row>
    <row r="29" spans="1:5" x14ac:dyDescent="0.2">
      <c r="B29" s="21"/>
    </row>
    <row r="30" spans="1:5" ht="18" x14ac:dyDescent="0.25">
      <c r="A30" s="30" t="s">
        <v>722</v>
      </c>
      <c r="B30" s="34"/>
      <c r="C30" s="34"/>
      <c r="D30" s="34"/>
      <c r="E30" s="34"/>
    </row>
    <row r="31" spans="1:5" ht="14.25" x14ac:dyDescent="0.2">
      <c r="A31" s="79" t="s">
        <v>721</v>
      </c>
      <c r="B31" s="79"/>
    </row>
    <row r="32" spans="1:5" ht="15.75" x14ac:dyDescent="0.2">
      <c r="A32" s="23" t="s">
        <v>720</v>
      </c>
      <c r="B32" s="23" t="s">
        <v>719</v>
      </c>
      <c r="C32" s="23" t="s">
        <v>718</v>
      </c>
      <c r="D32" s="23" t="s">
        <v>717</v>
      </c>
      <c r="E32" s="23" t="s">
        <v>716</v>
      </c>
    </row>
    <row r="33" spans="1:5" ht="15" x14ac:dyDescent="0.2">
      <c r="A33" s="29" t="s">
        <v>461</v>
      </c>
      <c r="B33" s="22" t="s">
        <v>674</v>
      </c>
      <c r="C33" s="22" t="s">
        <v>674</v>
      </c>
      <c r="D33" s="22"/>
      <c r="E33" s="22"/>
    </row>
    <row r="34" spans="1:5" ht="15" x14ac:dyDescent="0.2">
      <c r="A34" s="29" t="s">
        <v>114</v>
      </c>
      <c r="B34" s="22" t="s">
        <v>674</v>
      </c>
      <c r="C34" s="22" t="s">
        <v>674</v>
      </c>
      <c r="D34" s="22"/>
      <c r="E34" s="22"/>
    </row>
    <row r="35" spans="1:5" ht="15" x14ac:dyDescent="0.2">
      <c r="A35" s="29" t="s">
        <v>715</v>
      </c>
      <c r="B35" s="22" t="s">
        <v>674</v>
      </c>
      <c r="C35" s="22" t="s">
        <v>674</v>
      </c>
      <c r="D35" s="22"/>
      <c r="E35" s="22"/>
    </row>
    <row r="36" spans="1:5" ht="15" x14ac:dyDescent="0.2">
      <c r="A36" s="29" t="s">
        <v>714</v>
      </c>
      <c r="B36" s="22" t="s">
        <v>674</v>
      </c>
      <c r="C36" s="22" t="s">
        <v>674</v>
      </c>
      <c r="D36" s="22"/>
      <c r="E36" s="22"/>
    </row>
    <row r="37" spans="1:5" ht="15" x14ac:dyDescent="0.2">
      <c r="A37" s="29" t="s">
        <v>713</v>
      </c>
      <c r="B37" s="22" t="s">
        <v>674</v>
      </c>
      <c r="C37" s="22" t="s">
        <v>674</v>
      </c>
      <c r="D37" s="22"/>
      <c r="E37" s="22"/>
    </row>
    <row r="39" spans="1:5" ht="14.25" x14ac:dyDescent="0.2">
      <c r="A39" s="36" t="s">
        <v>712</v>
      </c>
      <c r="B39" s="10" t="s">
        <v>711</v>
      </c>
    </row>
    <row r="40" spans="1:5" ht="14.25" x14ac:dyDescent="0.2">
      <c r="A40" s="79" t="s">
        <v>710</v>
      </c>
      <c r="B40" s="79"/>
    </row>
    <row r="41" spans="1:5" ht="14.25" x14ac:dyDescent="0.2">
      <c r="A41" s="36" t="s">
        <v>709</v>
      </c>
      <c r="B41" s="36" t="s">
        <v>706</v>
      </c>
    </row>
    <row r="42" spans="1:5" ht="14.25" x14ac:dyDescent="0.2">
      <c r="A42" s="36" t="s">
        <v>708</v>
      </c>
      <c r="B42" s="36" t="s">
        <v>706</v>
      </c>
    </row>
    <row r="43" spans="1:5" ht="14.25" x14ac:dyDescent="0.2">
      <c r="A43" s="36" t="s">
        <v>707</v>
      </c>
      <c r="B43" s="36" t="s">
        <v>706</v>
      </c>
    </row>
    <row r="44" spans="1:5" ht="14.25" x14ac:dyDescent="0.2">
      <c r="A44" s="36" t="s">
        <v>705</v>
      </c>
      <c r="B44" s="36" t="s">
        <v>704</v>
      </c>
    </row>
    <row r="45" spans="1:5" ht="14.25" x14ac:dyDescent="0.2">
      <c r="A45" s="36" t="s">
        <v>703</v>
      </c>
      <c r="B45" s="36" t="s">
        <v>702</v>
      </c>
    </row>
    <row r="47" spans="1:5" ht="14.25" x14ac:dyDescent="0.2">
      <c r="A47" s="35" t="s">
        <v>701</v>
      </c>
      <c r="B47" s="35"/>
    </row>
    <row r="48" spans="1:5" ht="15.75" x14ac:dyDescent="0.2">
      <c r="A48" s="23" t="s">
        <v>446</v>
      </c>
      <c r="B48" s="23" t="s">
        <v>700</v>
      </c>
      <c r="C48" s="23" t="s">
        <v>699</v>
      </c>
    </row>
    <row r="49" spans="1:7" ht="15" x14ac:dyDescent="0.2">
      <c r="A49" s="22" t="s">
        <v>698</v>
      </c>
      <c r="B49" s="22" t="s">
        <v>674</v>
      </c>
      <c r="C49" s="22"/>
    </row>
    <row r="50" spans="1:7" ht="15" x14ac:dyDescent="0.2">
      <c r="A50" s="22" t="s">
        <v>697</v>
      </c>
      <c r="B50" s="22" t="s">
        <v>674</v>
      </c>
      <c r="C50" s="22"/>
    </row>
    <row r="51" spans="1:7" ht="15" x14ac:dyDescent="0.2">
      <c r="A51" s="22" t="s">
        <v>696</v>
      </c>
      <c r="B51" s="22" t="s">
        <v>674</v>
      </c>
      <c r="C51" s="22"/>
    </row>
    <row r="52" spans="1:7" ht="15" x14ac:dyDescent="0.2">
      <c r="A52" s="22" t="s">
        <v>695</v>
      </c>
      <c r="B52" s="22" t="s">
        <v>674</v>
      </c>
      <c r="C52" s="22"/>
    </row>
    <row r="53" spans="1:7" ht="15" x14ac:dyDescent="0.2">
      <c r="A53" s="22" t="s">
        <v>694</v>
      </c>
      <c r="B53" s="22" t="s">
        <v>674</v>
      </c>
      <c r="C53" s="22"/>
    </row>
    <row r="54" spans="1:7" ht="15" x14ac:dyDescent="0.2">
      <c r="A54" s="22" t="s">
        <v>693</v>
      </c>
      <c r="B54" s="22" t="s">
        <v>674</v>
      </c>
      <c r="C54" s="22"/>
    </row>
    <row r="55" spans="1:7" x14ac:dyDescent="0.2">
      <c r="A55" s="10" t="s">
        <v>692</v>
      </c>
      <c r="B55" s="10" t="s">
        <v>691</v>
      </c>
    </row>
    <row r="57" spans="1:7" ht="18" x14ac:dyDescent="0.25">
      <c r="A57" s="81" t="s">
        <v>690</v>
      </c>
      <c r="B57" s="81"/>
      <c r="C57" s="34"/>
      <c r="D57" s="34"/>
      <c r="E57" s="34"/>
    </row>
    <row r="58" spans="1:7" ht="14.25" x14ac:dyDescent="0.2">
      <c r="A58" s="33" t="s">
        <v>689</v>
      </c>
    </row>
    <row r="59" spans="1:7" ht="14.25" x14ac:dyDescent="0.2">
      <c r="A59" s="33" t="s">
        <v>688</v>
      </c>
    </row>
    <row r="60" spans="1:7" ht="31.5" x14ac:dyDescent="0.2">
      <c r="A60" s="32" t="s">
        <v>340</v>
      </c>
      <c r="B60" s="32" t="s">
        <v>687</v>
      </c>
      <c r="C60" s="32" t="s">
        <v>686</v>
      </c>
      <c r="D60" s="32" t="s">
        <v>685</v>
      </c>
      <c r="E60" s="32" t="s">
        <v>684</v>
      </c>
      <c r="F60" s="32" t="s">
        <v>683</v>
      </c>
      <c r="G60" s="32" t="s">
        <v>682</v>
      </c>
    </row>
    <row r="61" spans="1:7" ht="15" x14ac:dyDescent="0.2">
      <c r="A61" s="26" t="s">
        <v>681</v>
      </c>
      <c r="B61" s="22"/>
      <c r="C61" s="22"/>
      <c r="D61" s="22"/>
      <c r="E61" s="22"/>
      <c r="F61" s="22"/>
      <c r="G61" s="22"/>
    </row>
    <row r="62" spans="1:7" ht="15" x14ac:dyDescent="0.2">
      <c r="A62" s="26" t="s">
        <v>680</v>
      </c>
      <c r="B62" s="22"/>
      <c r="C62" s="22"/>
      <c r="D62" s="22"/>
      <c r="E62" s="22"/>
      <c r="F62" s="22"/>
      <c r="G62" s="22"/>
    </row>
    <row r="63" spans="1:7" ht="15" x14ac:dyDescent="0.2">
      <c r="A63" s="26" t="s">
        <v>679</v>
      </c>
      <c r="B63" s="22"/>
      <c r="C63" s="22"/>
      <c r="D63" s="22"/>
      <c r="E63" s="22"/>
      <c r="F63" s="22"/>
      <c r="G63" s="22"/>
    </row>
    <row r="64" spans="1:7" ht="15" x14ac:dyDescent="0.2">
      <c r="A64" s="26" t="s">
        <v>678</v>
      </c>
      <c r="B64" s="22"/>
      <c r="C64" s="22"/>
      <c r="D64" s="22"/>
      <c r="E64" s="22"/>
      <c r="F64" s="22"/>
      <c r="G64" s="22"/>
    </row>
    <row r="65" spans="1:7" ht="15" x14ac:dyDescent="0.2">
      <c r="A65" s="26" t="s">
        <v>677</v>
      </c>
      <c r="B65" s="22"/>
      <c r="C65" s="22"/>
      <c r="D65" s="22"/>
      <c r="E65" s="22"/>
      <c r="F65" s="22"/>
      <c r="G65" s="22"/>
    </row>
    <row r="66" spans="1:7" ht="15" x14ac:dyDescent="0.2">
      <c r="A66" s="26" t="s">
        <v>676</v>
      </c>
      <c r="B66" s="22"/>
      <c r="C66" s="22"/>
      <c r="D66" s="22"/>
      <c r="E66" s="22"/>
      <c r="F66" s="22"/>
      <c r="G66" s="22"/>
    </row>
    <row r="68" spans="1:7" ht="15" x14ac:dyDescent="0.2">
      <c r="A68" s="10" t="s">
        <v>675</v>
      </c>
      <c r="B68" s="22" t="s">
        <v>674</v>
      </c>
    </row>
    <row r="69" spans="1:7" x14ac:dyDescent="0.2">
      <c r="A69" s="31" t="s">
        <v>673</v>
      </c>
    </row>
    <row r="70" spans="1:7" x14ac:dyDescent="0.2">
      <c r="A70" s="31" t="s">
        <v>673</v>
      </c>
    </row>
    <row r="71" spans="1:7" x14ac:dyDescent="0.2">
      <c r="A71" s="31" t="s">
        <v>673</v>
      </c>
    </row>
    <row r="72" spans="1:7" x14ac:dyDescent="0.2">
      <c r="A72" s="31" t="s">
        <v>673</v>
      </c>
    </row>
    <row r="73" spans="1:7" x14ac:dyDescent="0.2">
      <c r="A73" s="31" t="s">
        <v>673</v>
      </c>
    </row>
    <row r="74" spans="1:7" x14ac:dyDescent="0.2">
      <c r="A74" s="31" t="s">
        <v>673</v>
      </c>
    </row>
    <row r="75" spans="1:7" ht="18" x14ac:dyDescent="0.25">
      <c r="A75" s="30" t="s">
        <v>672</v>
      </c>
      <c r="B75" s="30"/>
      <c r="C75" s="30"/>
      <c r="D75" s="30"/>
      <c r="E75" s="30"/>
    </row>
    <row r="76" spans="1:7" ht="15" x14ac:dyDescent="0.2">
      <c r="A76" s="80" t="s">
        <v>671</v>
      </c>
      <c r="B76" s="80"/>
    </row>
    <row r="77" spans="1:7" x14ac:dyDescent="0.2">
      <c r="A77" s="25" t="s">
        <v>670</v>
      </c>
      <c r="B77" s="10" t="s">
        <v>655</v>
      </c>
    </row>
    <row r="78" spans="1:7" x14ac:dyDescent="0.2">
      <c r="A78" s="25" t="s">
        <v>669</v>
      </c>
      <c r="B78" s="10" t="s">
        <v>655</v>
      </c>
    </row>
    <row r="79" spans="1:7" x14ac:dyDescent="0.2">
      <c r="A79" s="25" t="s">
        <v>668</v>
      </c>
      <c r="B79" s="10" t="s">
        <v>655</v>
      </c>
    </row>
    <row r="80" spans="1:7" x14ac:dyDescent="0.2">
      <c r="A80" s="25" t="s">
        <v>667</v>
      </c>
      <c r="B80" s="10" t="s">
        <v>655</v>
      </c>
    </row>
    <row r="81" spans="1:5" ht="15" x14ac:dyDescent="0.2">
      <c r="A81" s="80" t="s">
        <v>666</v>
      </c>
      <c r="B81" s="80"/>
    </row>
    <row r="82" spans="1:5" x14ac:dyDescent="0.2">
      <c r="A82" s="25" t="s">
        <v>665</v>
      </c>
      <c r="B82" s="10" t="s">
        <v>655</v>
      </c>
    </row>
    <row r="83" spans="1:5" x14ac:dyDescent="0.2">
      <c r="A83" s="25" t="s">
        <v>664</v>
      </c>
      <c r="B83" s="10" t="s">
        <v>655</v>
      </c>
    </row>
    <row r="84" spans="1:5" x14ac:dyDescent="0.2">
      <c r="A84" s="25" t="s">
        <v>663</v>
      </c>
      <c r="B84" s="10" t="s">
        <v>655</v>
      </c>
    </row>
    <row r="85" spans="1:5" x14ac:dyDescent="0.2">
      <c r="A85" s="25" t="s">
        <v>662</v>
      </c>
      <c r="B85" s="10" t="s">
        <v>655</v>
      </c>
    </row>
    <row r="86" spans="1:5" ht="15" x14ac:dyDescent="0.2">
      <c r="A86" s="80" t="s">
        <v>661</v>
      </c>
      <c r="B86" s="80"/>
    </row>
    <row r="87" spans="1:5" x14ac:dyDescent="0.2">
      <c r="A87" s="10" t="s">
        <v>660</v>
      </c>
      <c r="B87" s="10" t="s">
        <v>655</v>
      </c>
    </row>
    <row r="88" spans="1:5" x14ac:dyDescent="0.2">
      <c r="A88" s="10" t="s">
        <v>659</v>
      </c>
      <c r="B88" s="10" t="s">
        <v>655</v>
      </c>
    </row>
    <row r="89" spans="1:5" x14ac:dyDescent="0.2">
      <c r="A89" s="10" t="s">
        <v>658</v>
      </c>
      <c r="B89" s="10" t="s">
        <v>655</v>
      </c>
    </row>
    <row r="90" spans="1:5" x14ac:dyDescent="0.2">
      <c r="A90" s="10" t="s">
        <v>657</v>
      </c>
      <c r="B90" s="10" t="s">
        <v>655</v>
      </c>
    </row>
    <row r="91" spans="1:5" x14ac:dyDescent="0.2">
      <c r="A91" s="10" t="s">
        <v>656</v>
      </c>
      <c r="B91" s="10" t="s">
        <v>655</v>
      </c>
    </row>
    <row r="92" spans="1:5" ht="18" x14ac:dyDescent="0.25">
      <c r="A92" s="81" t="s">
        <v>654</v>
      </c>
      <c r="B92" s="81"/>
      <c r="C92" s="81"/>
      <c r="D92" s="81"/>
      <c r="E92" s="81"/>
    </row>
    <row r="93" spans="1:5" x14ac:dyDescent="0.2">
      <c r="A93" s="27" t="s">
        <v>653</v>
      </c>
      <c r="B93" s="27"/>
    </row>
    <row r="94" spans="1:5" ht="15.75" x14ac:dyDescent="0.2">
      <c r="A94" s="23" t="s">
        <v>652</v>
      </c>
      <c r="B94" s="23" t="s">
        <v>651</v>
      </c>
      <c r="C94" s="23" t="s">
        <v>650</v>
      </c>
      <c r="D94" s="23" t="s">
        <v>649</v>
      </c>
      <c r="E94" s="23" t="s">
        <v>648</v>
      </c>
    </row>
    <row r="95" spans="1:5" ht="15" x14ac:dyDescent="0.2">
      <c r="A95" s="29" t="s">
        <v>647</v>
      </c>
      <c r="B95" s="22"/>
      <c r="C95" s="22"/>
      <c r="D95" s="22"/>
      <c r="E95" s="22"/>
    </row>
    <row r="96" spans="1:5" ht="15" x14ac:dyDescent="0.2">
      <c r="A96" s="29" t="s">
        <v>646</v>
      </c>
      <c r="B96" s="22"/>
      <c r="C96" s="22"/>
      <c r="D96" s="22"/>
      <c r="E96" s="22"/>
    </row>
    <row r="97" spans="1:5" ht="15" x14ac:dyDescent="0.2">
      <c r="A97" s="29" t="s">
        <v>645</v>
      </c>
      <c r="B97" s="22"/>
      <c r="C97" s="22"/>
      <c r="D97" s="22"/>
      <c r="E97" s="22"/>
    </row>
    <row r="98" spans="1:5" ht="15" x14ac:dyDescent="0.2">
      <c r="A98" s="29" t="s">
        <v>644</v>
      </c>
      <c r="B98" s="22"/>
      <c r="C98" s="22"/>
      <c r="D98" s="22"/>
      <c r="E98" s="22"/>
    </row>
    <row r="99" spans="1:5" ht="15" x14ac:dyDescent="0.2">
      <c r="A99" s="29" t="s">
        <v>643</v>
      </c>
      <c r="B99" s="22"/>
      <c r="C99" s="22"/>
      <c r="D99" s="22"/>
      <c r="E99" s="22"/>
    </row>
    <row r="100" spans="1:5" ht="15" x14ac:dyDescent="0.2">
      <c r="A100" s="28" t="s">
        <v>642</v>
      </c>
      <c r="B100" s="22"/>
      <c r="C100" s="22"/>
      <c r="D100" s="22"/>
      <c r="E100" s="22"/>
    </row>
    <row r="102" spans="1:5" x14ac:dyDescent="0.2">
      <c r="A102" s="27" t="s">
        <v>641</v>
      </c>
      <c r="B102" s="27"/>
    </row>
    <row r="103" spans="1:5" ht="31.5" x14ac:dyDescent="0.2">
      <c r="A103" s="23" t="s">
        <v>640</v>
      </c>
      <c r="B103" s="23" t="s">
        <v>639</v>
      </c>
      <c r="C103" s="23" t="s">
        <v>638</v>
      </c>
      <c r="D103" s="23" t="s">
        <v>1</v>
      </c>
      <c r="E103" s="23" t="s">
        <v>637</v>
      </c>
    </row>
    <row r="104" spans="1:5" ht="15" x14ac:dyDescent="0.2">
      <c r="A104" s="26" t="s">
        <v>636</v>
      </c>
      <c r="B104" s="22"/>
      <c r="C104" s="22"/>
      <c r="D104" s="22"/>
      <c r="E104" s="22"/>
    </row>
    <row r="105" spans="1:5" ht="15" x14ac:dyDescent="0.2">
      <c r="A105" s="26" t="s">
        <v>635</v>
      </c>
      <c r="B105" s="22"/>
      <c r="C105" s="22"/>
      <c r="D105" s="22"/>
      <c r="E105" s="22"/>
    </row>
    <row r="106" spans="1:5" ht="15" x14ac:dyDescent="0.2">
      <c r="A106" s="26" t="s">
        <v>634</v>
      </c>
      <c r="B106" s="22"/>
      <c r="C106" s="22"/>
      <c r="D106" s="22"/>
      <c r="E106" s="22"/>
    </row>
    <row r="107" spans="1:5" ht="15" x14ac:dyDescent="0.2">
      <c r="A107" s="26" t="s">
        <v>633</v>
      </c>
      <c r="B107" s="22"/>
      <c r="C107" s="22"/>
      <c r="D107" s="22"/>
      <c r="E107" s="22"/>
    </row>
    <row r="108" spans="1:5" ht="15" x14ac:dyDescent="0.2">
      <c r="A108" s="26" t="s">
        <v>632</v>
      </c>
      <c r="B108" s="22"/>
      <c r="C108" s="22"/>
      <c r="D108" s="22"/>
      <c r="E108" s="22"/>
    </row>
    <row r="110" spans="1:5" ht="18" x14ac:dyDescent="0.25">
      <c r="A110" s="81" t="s">
        <v>631</v>
      </c>
      <c r="B110" s="81"/>
      <c r="C110" s="81"/>
      <c r="D110" s="81"/>
      <c r="E110" s="81"/>
    </row>
    <row r="111" spans="1:5" ht="14.25" x14ac:dyDescent="0.2">
      <c r="A111" s="79" t="s">
        <v>630</v>
      </c>
      <c r="B111" s="79"/>
    </row>
    <row r="112" spans="1:5" x14ac:dyDescent="0.2">
      <c r="A112" s="25" t="s">
        <v>629</v>
      </c>
      <c r="B112" s="10" t="s">
        <v>627</v>
      </c>
    </row>
    <row r="113" spans="1:4" x14ac:dyDescent="0.2">
      <c r="A113" s="25" t="s">
        <v>628</v>
      </c>
      <c r="B113" s="10" t="s">
        <v>627</v>
      </c>
    </row>
    <row r="114" spans="1:4" x14ac:dyDescent="0.2">
      <c r="A114" s="25" t="s">
        <v>626</v>
      </c>
      <c r="B114" s="10" t="s">
        <v>625</v>
      </c>
    </row>
    <row r="116" spans="1:4" ht="14.25" x14ac:dyDescent="0.2">
      <c r="A116" s="79" t="s">
        <v>624</v>
      </c>
      <c r="B116" s="79"/>
    </row>
    <row r="117" spans="1:4" x14ac:dyDescent="0.2">
      <c r="A117" s="10" t="s">
        <v>623</v>
      </c>
    </row>
    <row r="118" spans="1:4" x14ac:dyDescent="0.2">
      <c r="A118" s="10" t="s">
        <v>622</v>
      </c>
    </row>
    <row r="119" spans="1:4" x14ac:dyDescent="0.2">
      <c r="A119" s="10" t="s">
        <v>621</v>
      </c>
    </row>
    <row r="120" spans="1:4" ht="14.25" x14ac:dyDescent="0.2">
      <c r="A120" s="79" t="s">
        <v>620</v>
      </c>
      <c r="B120" s="79"/>
    </row>
    <row r="121" spans="1:4" ht="31.5" x14ac:dyDescent="0.2">
      <c r="A121" s="23" t="s">
        <v>619</v>
      </c>
      <c r="B121" s="23" t="s">
        <v>618</v>
      </c>
      <c r="C121" s="23" t="s">
        <v>617</v>
      </c>
      <c r="D121" s="23" t="s">
        <v>616</v>
      </c>
    </row>
    <row r="122" spans="1:4" ht="15" x14ac:dyDescent="0.2">
      <c r="A122" s="22" t="s">
        <v>615</v>
      </c>
      <c r="B122" s="22"/>
      <c r="C122" s="22"/>
      <c r="D122" s="22"/>
    </row>
    <row r="123" spans="1:4" ht="15" x14ac:dyDescent="0.2">
      <c r="A123" s="22" t="s">
        <v>614</v>
      </c>
      <c r="B123" s="22"/>
      <c r="C123" s="22"/>
      <c r="D123" s="22"/>
    </row>
    <row r="124" spans="1:4" ht="15" x14ac:dyDescent="0.2">
      <c r="A124" s="22" t="s">
        <v>613</v>
      </c>
      <c r="B124" s="22"/>
      <c r="C124" s="22"/>
      <c r="D124" s="22"/>
    </row>
    <row r="125" spans="1:4" ht="15" x14ac:dyDescent="0.2">
      <c r="A125" s="22" t="s">
        <v>612</v>
      </c>
      <c r="B125" s="22"/>
      <c r="C125" s="22"/>
      <c r="D125" s="22"/>
    </row>
    <row r="127" spans="1:4" ht="14.25" x14ac:dyDescent="0.2">
      <c r="A127" s="79" t="s">
        <v>611</v>
      </c>
      <c r="B127" s="79"/>
    </row>
    <row r="128" spans="1:4" ht="15.75" x14ac:dyDescent="0.2">
      <c r="A128" s="23" t="s">
        <v>610</v>
      </c>
      <c r="B128" s="23" t="s">
        <v>8</v>
      </c>
      <c r="C128" s="23" t="s">
        <v>609</v>
      </c>
      <c r="D128" s="23" t="s">
        <v>608</v>
      </c>
    </row>
    <row r="129" spans="1:4" ht="15" x14ac:dyDescent="0.2">
      <c r="A129" s="22"/>
      <c r="B129" s="22"/>
      <c r="C129" s="22"/>
      <c r="D129" s="22"/>
    </row>
    <row r="130" spans="1:4" ht="15" x14ac:dyDescent="0.2">
      <c r="A130" s="22"/>
      <c r="B130" s="22"/>
      <c r="C130" s="22"/>
      <c r="D130" s="22"/>
    </row>
    <row r="131" spans="1:4" ht="15" x14ac:dyDescent="0.2">
      <c r="A131" s="22"/>
      <c r="B131" s="22"/>
      <c r="C131" s="22"/>
      <c r="D131" s="22"/>
    </row>
    <row r="133" spans="1:4" x14ac:dyDescent="0.2">
      <c r="A133" s="21" t="s">
        <v>607</v>
      </c>
    </row>
    <row r="134" spans="1:4" x14ac:dyDescent="0.2">
      <c r="A134" s="10" t="s">
        <v>605</v>
      </c>
    </row>
    <row r="135" spans="1:4" x14ac:dyDescent="0.2">
      <c r="A135" s="10" t="s">
        <v>606</v>
      </c>
    </row>
    <row r="136" spans="1:4" x14ac:dyDescent="0.2">
      <c r="A136" s="10" t="s">
        <v>605</v>
      </c>
    </row>
    <row r="137" spans="1:4" x14ac:dyDescent="0.2">
      <c r="A137" s="10" t="s">
        <v>604</v>
      </c>
    </row>
    <row r="147" spans="1:1" x14ac:dyDescent="0.2">
      <c r="A147" s="20" t="s">
        <v>603</v>
      </c>
    </row>
  </sheetData>
  <mergeCells count="15">
    <mergeCell ref="A57:B57"/>
    <mergeCell ref="A1:E1"/>
    <mergeCell ref="A2:E2"/>
    <mergeCell ref="A21:B21"/>
    <mergeCell ref="A31:B31"/>
    <mergeCell ref="A40:B40"/>
    <mergeCell ref="A116:B116"/>
    <mergeCell ref="A120:B120"/>
    <mergeCell ref="A127:B127"/>
    <mergeCell ref="A76:B76"/>
    <mergeCell ref="A92:E92"/>
    <mergeCell ref="A110:E110"/>
    <mergeCell ref="A111:B111"/>
    <mergeCell ref="A86:B86"/>
    <mergeCell ref="A81:B81"/>
  </mergeCells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95F71-8CF4-4A43-9C44-FFDD19273746}">
  <dimension ref="A1:E202"/>
  <sheetViews>
    <sheetView topLeftCell="A58" zoomScale="140" zoomScaleNormal="140" workbookViewId="0">
      <selection activeCell="A59" sqref="A59"/>
    </sheetView>
  </sheetViews>
  <sheetFormatPr defaultColWidth="11.42578125" defaultRowHeight="12.75" x14ac:dyDescent="0.2"/>
  <cols>
    <col min="1" max="1" width="42" style="10" customWidth="1"/>
    <col min="2" max="2" width="54.28515625" style="10" customWidth="1"/>
    <col min="3" max="3" width="33.140625" style="10" customWidth="1"/>
    <col min="4" max="4" width="18.5703125" style="10" customWidth="1"/>
    <col min="5" max="5" width="21.140625" style="10" customWidth="1"/>
    <col min="6" max="16384" width="11.42578125" style="10"/>
  </cols>
  <sheetData>
    <row r="1" spans="1:3" ht="20.25" x14ac:dyDescent="0.3">
      <c r="A1" s="85" t="s">
        <v>1019</v>
      </c>
      <c r="B1" s="85"/>
      <c r="C1" s="85"/>
    </row>
    <row r="2" spans="1:3" ht="27" customHeight="1" x14ac:dyDescent="0.2">
      <c r="A2" s="87" t="s">
        <v>1018</v>
      </c>
      <c r="B2" s="87"/>
      <c r="C2" s="87"/>
    </row>
    <row r="3" spans="1:3" x14ac:dyDescent="0.2">
      <c r="A3" s="10" t="s">
        <v>1017</v>
      </c>
    </row>
    <row r="4" spans="1:3" x14ac:dyDescent="0.2">
      <c r="A4" s="10" t="s">
        <v>1016</v>
      </c>
      <c r="B4" s="10" t="s">
        <v>1015</v>
      </c>
    </row>
    <row r="5" spans="1:3" x14ac:dyDescent="0.2">
      <c r="A5" s="10" t="s">
        <v>1014</v>
      </c>
    </row>
    <row r="6" spans="1:3" x14ac:dyDescent="0.2">
      <c r="A6" s="10" t="s">
        <v>1013</v>
      </c>
      <c r="B6" s="10" t="s">
        <v>1012</v>
      </c>
    </row>
    <row r="7" spans="1:3" x14ac:dyDescent="0.2">
      <c r="A7" s="10" t="s">
        <v>1011</v>
      </c>
      <c r="B7" s="10" t="s">
        <v>1010</v>
      </c>
    </row>
    <row r="8" spans="1:3" x14ac:dyDescent="0.2">
      <c r="A8" s="10" t="s">
        <v>1009</v>
      </c>
    </row>
    <row r="9" spans="1:3" ht="25.5" x14ac:dyDescent="0.2">
      <c r="B9" s="10" t="s">
        <v>1008</v>
      </c>
      <c r="C9" s="51" t="s">
        <v>1007</v>
      </c>
    </row>
    <row r="11" spans="1:3" x14ac:dyDescent="0.2">
      <c r="A11" s="10" t="s">
        <v>1006</v>
      </c>
      <c r="B11" s="10" t="s">
        <v>1005</v>
      </c>
    </row>
    <row r="13" spans="1:3" x14ac:dyDescent="0.2">
      <c r="A13" s="10" t="s">
        <v>1004</v>
      </c>
      <c r="B13" s="10" t="s">
        <v>1003</v>
      </c>
    </row>
    <row r="15" spans="1:3" x14ac:dyDescent="0.2">
      <c r="A15" s="10" t="s">
        <v>1002</v>
      </c>
    </row>
    <row r="16" spans="1:3" x14ac:dyDescent="0.2">
      <c r="A16" s="86" t="s">
        <v>1001</v>
      </c>
      <c r="B16" s="86"/>
    </row>
    <row r="17" spans="1:4" ht="15.75" x14ac:dyDescent="0.2">
      <c r="A17" s="47" t="s">
        <v>970</v>
      </c>
      <c r="B17" s="47" t="s">
        <v>651</v>
      </c>
      <c r="C17" s="47" t="s">
        <v>280</v>
      </c>
      <c r="D17" s="47" t="s">
        <v>1000</v>
      </c>
    </row>
    <row r="18" spans="1:4" ht="15" x14ac:dyDescent="0.2">
      <c r="A18" s="40" t="s">
        <v>999</v>
      </c>
      <c r="B18" s="40"/>
      <c r="C18" s="40"/>
      <c r="D18" s="40"/>
    </row>
    <row r="19" spans="1:4" ht="15" x14ac:dyDescent="0.2">
      <c r="A19" s="41" t="s">
        <v>998</v>
      </c>
      <c r="B19" s="40"/>
      <c r="C19" s="40" t="s">
        <v>997</v>
      </c>
      <c r="D19" s="40"/>
    </row>
    <row r="20" spans="1:4" ht="15" x14ac:dyDescent="0.2">
      <c r="A20" s="41" t="s">
        <v>996</v>
      </c>
      <c r="B20" s="40"/>
      <c r="C20" s="40" t="s">
        <v>995</v>
      </c>
      <c r="D20" s="40"/>
    </row>
    <row r="21" spans="1:4" ht="15" x14ac:dyDescent="0.2">
      <c r="A21" s="41" t="s">
        <v>994</v>
      </c>
      <c r="B21" s="40"/>
      <c r="C21" s="40" t="s">
        <v>993</v>
      </c>
      <c r="D21" s="40"/>
    </row>
    <row r="22" spans="1:4" ht="15" x14ac:dyDescent="0.2">
      <c r="A22" s="40" t="s">
        <v>992</v>
      </c>
      <c r="B22" s="40"/>
      <c r="C22" s="40"/>
      <c r="D22" s="40"/>
    </row>
    <row r="23" spans="1:4" ht="30" x14ac:dyDescent="0.2">
      <c r="A23" s="41" t="s">
        <v>991</v>
      </c>
      <c r="B23" s="40"/>
      <c r="C23" s="40" t="s">
        <v>990</v>
      </c>
      <c r="D23" s="40"/>
    </row>
    <row r="24" spans="1:4" ht="30" x14ac:dyDescent="0.2">
      <c r="A24" s="41" t="s">
        <v>989</v>
      </c>
      <c r="B24" s="40"/>
      <c r="C24" s="40" t="s">
        <v>988</v>
      </c>
      <c r="D24" s="40"/>
    </row>
    <row r="25" spans="1:4" ht="15" x14ac:dyDescent="0.2">
      <c r="A25" s="41" t="s">
        <v>987</v>
      </c>
      <c r="B25" s="40"/>
      <c r="C25" s="40" t="s">
        <v>986</v>
      </c>
      <c r="D25" s="40"/>
    </row>
    <row r="26" spans="1:4" ht="15" x14ac:dyDescent="0.2">
      <c r="A26" s="40" t="s">
        <v>985</v>
      </c>
      <c r="B26" s="40"/>
      <c r="C26" s="40"/>
      <c r="D26" s="40"/>
    </row>
    <row r="27" spans="1:4" ht="15" x14ac:dyDescent="0.2">
      <c r="A27" s="41" t="s">
        <v>984</v>
      </c>
      <c r="B27" s="40"/>
      <c r="C27" s="40" t="s">
        <v>983</v>
      </c>
      <c r="D27" s="40"/>
    </row>
    <row r="28" spans="1:4" ht="15" x14ac:dyDescent="0.2">
      <c r="A28" s="41" t="s">
        <v>982</v>
      </c>
      <c r="B28" s="40"/>
      <c r="C28" s="40" t="s">
        <v>981</v>
      </c>
      <c r="D28" s="40"/>
    </row>
    <row r="29" spans="1:4" ht="15" x14ac:dyDescent="0.2">
      <c r="A29" s="41" t="s">
        <v>980</v>
      </c>
      <c r="B29" s="40"/>
      <c r="C29" s="40" t="s">
        <v>979</v>
      </c>
      <c r="D29" s="40"/>
    </row>
    <row r="30" spans="1:4" ht="15" x14ac:dyDescent="0.2">
      <c r="A30" s="40" t="s">
        <v>946</v>
      </c>
      <c r="B30" s="40"/>
      <c r="C30" s="40"/>
      <c r="D30" s="40"/>
    </row>
    <row r="31" spans="1:4" ht="15" x14ac:dyDescent="0.2">
      <c r="A31" s="41" t="s">
        <v>978</v>
      </c>
      <c r="B31" s="40"/>
      <c r="C31" s="40" t="s">
        <v>977</v>
      </c>
      <c r="D31" s="40"/>
    </row>
    <row r="32" spans="1:4" ht="15" x14ac:dyDescent="0.2">
      <c r="A32" s="41" t="s">
        <v>976</v>
      </c>
      <c r="B32" s="40"/>
      <c r="C32" s="40" t="s">
        <v>975</v>
      </c>
      <c r="D32" s="40"/>
    </row>
    <row r="33" spans="1:4" ht="15" x14ac:dyDescent="0.2">
      <c r="A33" s="41" t="s">
        <v>974</v>
      </c>
      <c r="B33" s="40"/>
      <c r="C33" s="40" t="s">
        <v>973</v>
      </c>
      <c r="D33" s="40"/>
    </row>
    <row r="35" spans="1:4" x14ac:dyDescent="0.2">
      <c r="A35" s="10" t="s">
        <v>972</v>
      </c>
      <c r="B35" s="10" t="s">
        <v>764</v>
      </c>
    </row>
    <row r="37" spans="1:4" x14ac:dyDescent="0.2">
      <c r="A37" s="10" t="s">
        <v>971</v>
      </c>
    </row>
    <row r="38" spans="1:4" ht="15.75" x14ac:dyDescent="0.2">
      <c r="A38" s="42" t="s">
        <v>970</v>
      </c>
      <c r="B38" s="42" t="s">
        <v>969</v>
      </c>
      <c r="C38" s="42" t="s">
        <v>578</v>
      </c>
    </row>
    <row r="39" spans="1:4" ht="15" x14ac:dyDescent="0.2">
      <c r="A39" s="40" t="s">
        <v>968</v>
      </c>
      <c r="B39" s="40"/>
      <c r="C39" s="40"/>
    </row>
    <row r="40" spans="1:4" ht="15" x14ac:dyDescent="0.2">
      <c r="A40" s="40" t="s">
        <v>967</v>
      </c>
      <c r="B40" s="40"/>
      <c r="C40" s="40" t="s">
        <v>966</v>
      </c>
    </row>
    <row r="41" spans="1:4" ht="15" x14ac:dyDescent="0.2">
      <c r="A41" s="40" t="s">
        <v>965</v>
      </c>
      <c r="B41" s="40"/>
      <c r="C41" s="40" t="s">
        <v>964</v>
      </c>
    </row>
    <row r="42" spans="1:4" ht="15" x14ac:dyDescent="0.2">
      <c r="A42" s="40" t="s">
        <v>963</v>
      </c>
      <c r="B42" s="40"/>
      <c r="C42" s="40" t="s">
        <v>962</v>
      </c>
    </row>
    <row r="43" spans="1:4" ht="15" x14ac:dyDescent="0.2">
      <c r="A43" s="40" t="s">
        <v>961</v>
      </c>
      <c r="B43" s="40"/>
      <c r="C43" s="40" t="s">
        <v>960</v>
      </c>
    </row>
    <row r="44" spans="1:4" ht="15" x14ac:dyDescent="0.2">
      <c r="A44" s="40" t="s">
        <v>959</v>
      </c>
      <c r="B44" s="40"/>
      <c r="C44" s="40"/>
    </row>
    <row r="45" spans="1:4" ht="15" x14ac:dyDescent="0.2">
      <c r="A45" s="40" t="s">
        <v>958</v>
      </c>
      <c r="B45" s="40"/>
      <c r="C45" s="40" t="s">
        <v>956</v>
      </c>
    </row>
    <row r="46" spans="1:4" ht="15" x14ac:dyDescent="0.2">
      <c r="A46" s="40" t="s">
        <v>957</v>
      </c>
      <c r="B46" s="40"/>
      <c r="C46" s="40" t="s">
        <v>956</v>
      </c>
    </row>
    <row r="47" spans="1:4" ht="15" x14ac:dyDescent="0.2">
      <c r="A47" s="40" t="s">
        <v>955</v>
      </c>
      <c r="B47" s="40"/>
      <c r="C47" s="40" t="s">
        <v>954</v>
      </c>
    </row>
    <row r="48" spans="1:4" ht="15" x14ac:dyDescent="0.2">
      <c r="A48" s="40" t="s">
        <v>953</v>
      </c>
      <c r="B48" s="40"/>
      <c r="C48" s="40"/>
    </row>
    <row r="49" spans="1:5" ht="15" x14ac:dyDescent="0.2">
      <c r="A49" s="40" t="s">
        <v>952</v>
      </c>
      <c r="B49" s="40"/>
      <c r="C49" s="40" t="s">
        <v>951</v>
      </c>
    </row>
    <row r="50" spans="1:5" ht="15" x14ac:dyDescent="0.2">
      <c r="A50" s="40" t="s">
        <v>950</v>
      </c>
      <c r="B50" s="40"/>
      <c r="C50" s="40" t="s">
        <v>949</v>
      </c>
    </row>
    <row r="51" spans="1:5" ht="15" x14ac:dyDescent="0.2">
      <c r="A51" s="40" t="s">
        <v>948</v>
      </c>
      <c r="B51" s="40"/>
      <c r="C51" s="40" t="s">
        <v>947</v>
      </c>
    </row>
    <row r="52" spans="1:5" ht="15" x14ac:dyDescent="0.2">
      <c r="A52" s="40" t="s">
        <v>946</v>
      </c>
      <c r="B52" s="40"/>
      <c r="C52" s="40"/>
    </row>
    <row r="53" spans="1:5" ht="15" x14ac:dyDescent="0.2">
      <c r="A53" s="40" t="s">
        <v>945</v>
      </c>
      <c r="B53" s="40"/>
      <c r="C53" s="40" t="s">
        <v>944</v>
      </c>
    </row>
    <row r="54" spans="1:5" ht="15" x14ac:dyDescent="0.2">
      <c r="A54" s="40" t="s">
        <v>943</v>
      </c>
      <c r="B54" s="40"/>
      <c r="C54" s="40" t="s">
        <v>942</v>
      </c>
    </row>
    <row r="56" spans="1:5" x14ac:dyDescent="0.2">
      <c r="A56" s="10" t="s">
        <v>941</v>
      </c>
      <c r="B56" s="10" t="s">
        <v>764</v>
      </c>
    </row>
    <row r="59" spans="1:5" x14ac:dyDescent="0.2">
      <c r="A59" s="37" t="s">
        <v>940</v>
      </c>
    </row>
    <row r="60" spans="1:5" x14ac:dyDescent="0.2">
      <c r="A60" s="10" t="s">
        <v>939</v>
      </c>
    </row>
    <row r="61" spans="1:5" x14ac:dyDescent="0.2">
      <c r="A61" s="10" t="s">
        <v>938</v>
      </c>
    </row>
    <row r="62" spans="1:5" ht="15.75" x14ac:dyDescent="0.2">
      <c r="A62" s="47" t="s">
        <v>921</v>
      </c>
      <c r="B62" s="47" t="s">
        <v>920</v>
      </c>
      <c r="C62" s="47" t="s">
        <v>894</v>
      </c>
      <c r="D62" s="47" t="s">
        <v>893</v>
      </c>
      <c r="E62" s="47" t="s">
        <v>937</v>
      </c>
    </row>
    <row r="63" spans="1:5" ht="15" x14ac:dyDescent="0.2">
      <c r="A63" s="40" t="s">
        <v>936</v>
      </c>
      <c r="B63" s="40"/>
      <c r="C63" s="40"/>
      <c r="D63" s="40"/>
      <c r="E63" s="40"/>
    </row>
    <row r="64" spans="1:5" ht="30" x14ac:dyDescent="0.2">
      <c r="A64" s="40" t="s">
        <v>935</v>
      </c>
      <c r="B64" s="40" t="s">
        <v>934</v>
      </c>
      <c r="C64" s="40" t="s">
        <v>785</v>
      </c>
      <c r="D64" s="40" t="s">
        <v>761</v>
      </c>
      <c r="E64" s="40" t="s">
        <v>778</v>
      </c>
    </row>
    <row r="65" spans="1:5" ht="15" x14ac:dyDescent="0.2">
      <c r="A65" s="40" t="s">
        <v>933</v>
      </c>
      <c r="B65" s="40" t="s">
        <v>932</v>
      </c>
      <c r="C65" s="40"/>
      <c r="D65" s="40"/>
      <c r="E65" s="40" t="s">
        <v>778</v>
      </c>
    </row>
    <row r="66" spans="1:5" ht="15" x14ac:dyDescent="0.2">
      <c r="A66" s="40" t="s">
        <v>931</v>
      </c>
      <c r="B66" s="40" t="s">
        <v>930</v>
      </c>
      <c r="C66" s="40" t="s">
        <v>778</v>
      </c>
      <c r="D66" s="40" t="s">
        <v>778</v>
      </c>
      <c r="E66" s="40" t="s">
        <v>778</v>
      </c>
    </row>
    <row r="67" spans="1:5" ht="15" x14ac:dyDescent="0.2">
      <c r="A67" s="40" t="s">
        <v>929</v>
      </c>
      <c r="B67" s="40"/>
      <c r="C67" s="40"/>
      <c r="D67" s="40"/>
      <c r="E67" s="40"/>
    </row>
    <row r="68" spans="1:5" ht="15" x14ac:dyDescent="0.2">
      <c r="A68" s="40" t="s">
        <v>928</v>
      </c>
      <c r="B68" s="40" t="s">
        <v>927</v>
      </c>
      <c r="C68" s="40" t="s">
        <v>849</v>
      </c>
      <c r="D68" s="40" t="s">
        <v>847</v>
      </c>
      <c r="E68" s="40" t="s">
        <v>778</v>
      </c>
    </row>
    <row r="69" spans="1:5" ht="15" x14ac:dyDescent="0.2">
      <c r="A69" s="40" t="s">
        <v>926</v>
      </c>
      <c r="B69" s="40" t="s">
        <v>925</v>
      </c>
      <c r="C69" s="40" t="s">
        <v>778</v>
      </c>
      <c r="D69" s="40" t="s">
        <v>778</v>
      </c>
      <c r="E69" s="40" t="s">
        <v>924</v>
      </c>
    </row>
    <row r="71" spans="1:5" x14ac:dyDescent="0.2">
      <c r="A71" s="10" t="s">
        <v>923</v>
      </c>
      <c r="B71" s="10" t="s">
        <v>764</v>
      </c>
    </row>
    <row r="73" spans="1:5" x14ac:dyDescent="0.2">
      <c r="A73" s="10" t="s">
        <v>845</v>
      </c>
    </row>
    <row r="74" spans="1:5" x14ac:dyDescent="0.2">
      <c r="A74" s="37" t="s">
        <v>922</v>
      </c>
    </row>
    <row r="75" spans="1:5" ht="15.75" x14ac:dyDescent="0.2">
      <c r="A75" s="47" t="s">
        <v>921</v>
      </c>
      <c r="B75" s="47" t="s">
        <v>920</v>
      </c>
      <c r="C75" s="47" t="s">
        <v>919</v>
      </c>
      <c r="D75" s="47" t="s">
        <v>893</v>
      </c>
      <c r="E75" s="47" t="s">
        <v>918</v>
      </c>
    </row>
    <row r="76" spans="1:5" ht="15" x14ac:dyDescent="0.2">
      <c r="A76" s="40" t="s">
        <v>917</v>
      </c>
      <c r="B76" s="40"/>
      <c r="C76" s="40"/>
      <c r="D76" s="40"/>
      <c r="E76" s="40"/>
    </row>
    <row r="77" spans="1:5" ht="15" x14ac:dyDescent="0.2">
      <c r="A77" s="40" t="s">
        <v>916</v>
      </c>
      <c r="B77" s="40" t="s">
        <v>915</v>
      </c>
      <c r="C77" s="40" t="s">
        <v>778</v>
      </c>
      <c r="D77" s="40" t="s">
        <v>778</v>
      </c>
      <c r="E77" s="40" t="s">
        <v>778</v>
      </c>
    </row>
    <row r="78" spans="1:5" ht="15" x14ac:dyDescent="0.2">
      <c r="A78" s="40" t="s">
        <v>914</v>
      </c>
      <c r="B78" s="40" t="s">
        <v>913</v>
      </c>
      <c r="C78" s="40" t="s">
        <v>778</v>
      </c>
      <c r="D78" s="40" t="s">
        <v>778</v>
      </c>
      <c r="E78" s="40" t="s">
        <v>778</v>
      </c>
    </row>
    <row r="79" spans="1:5" ht="15" x14ac:dyDescent="0.2">
      <c r="A79" s="40" t="s">
        <v>912</v>
      </c>
      <c r="B79" s="40" t="s">
        <v>911</v>
      </c>
      <c r="C79" s="40" t="s">
        <v>778</v>
      </c>
      <c r="D79" s="40" t="s">
        <v>778</v>
      </c>
      <c r="E79" s="40" t="s">
        <v>778</v>
      </c>
    </row>
    <row r="80" spans="1:5" ht="15" x14ac:dyDescent="0.2">
      <c r="A80" s="40" t="s">
        <v>910</v>
      </c>
      <c r="B80" s="40"/>
      <c r="C80" s="40"/>
      <c r="D80" s="40"/>
      <c r="E80" s="40"/>
    </row>
    <row r="81" spans="1:5" ht="15" x14ac:dyDescent="0.2">
      <c r="A81" s="40" t="s">
        <v>909</v>
      </c>
      <c r="B81" s="40" t="s">
        <v>908</v>
      </c>
      <c r="C81" s="40" t="s">
        <v>907</v>
      </c>
      <c r="D81" s="40" t="s">
        <v>906</v>
      </c>
      <c r="E81" s="40" t="s">
        <v>778</v>
      </c>
    </row>
    <row r="82" spans="1:5" ht="15" x14ac:dyDescent="0.2">
      <c r="A82" s="40" t="s">
        <v>905</v>
      </c>
      <c r="B82" s="40" t="s">
        <v>904</v>
      </c>
      <c r="C82" s="40" t="s">
        <v>778</v>
      </c>
      <c r="D82" s="40" t="s">
        <v>778</v>
      </c>
      <c r="E82" s="40" t="s">
        <v>778</v>
      </c>
    </row>
    <row r="83" spans="1:5" ht="15" x14ac:dyDescent="0.2">
      <c r="A83" s="40" t="s">
        <v>903</v>
      </c>
      <c r="B83" s="40" t="s">
        <v>902</v>
      </c>
      <c r="C83" s="40" t="s">
        <v>778</v>
      </c>
      <c r="D83" s="40" t="s">
        <v>778</v>
      </c>
      <c r="E83" s="40" t="s">
        <v>778</v>
      </c>
    </row>
    <row r="84" spans="1:5" ht="15" x14ac:dyDescent="0.2">
      <c r="A84" s="40" t="s">
        <v>901</v>
      </c>
      <c r="B84" s="40"/>
      <c r="C84" s="40"/>
      <c r="D84" s="40"/>
      <c r="E84" s="40"/>
    </row>
    <row r="85" spans="1:5" ht="15" x14ac:dyDescent="0.2">
      <c r="A85" s="40" t="s">
        <v>900</v>
      </c>
      <c r="B85" s="40" t="s">
        <v>899</v>
      </c>
      <c r="C85" s="40" t="s">
        <v>778</v>
      </c>
      <c r="D85" s="40" t="s">
        <v>778</v>
      </c>
      <c r="E85" s="40" t="s">
        <v>778</v>
      </c>
    </row>
    <row r="86" spans="1:5" ht="15" x14ac:dyDescent="0.2">
      <c r="A86" s="40" t="s">
        <v>898</v>
      </c>
      <c r="B86" s="40" t="s">
        <v>897</v>
      </c>
      <c r="C86" s="40" t="s">
        <v>778</v>
      </c>
      <c r="D86" s="40" t="s">
        <v>778</v>
      </c>
      <c r="E86" s="40" t="s">
        <v>778</v>
      </c>
    </row>
    <row r="88" spans="1:5" x14ac:dyDescent="0.2">
      <c r="A88" s="50" t="s">
        <v>896</v>
      </c>
      <c r="B88" s="10" t="s">
        <v>764</v>
      </c>
    </row>
    <row r="90" spans="1:5" x14ac:dyDescent="0.2">
      <c r="A90" s="49" t="s">
        <v>895</v>
      </c>
    </row>
    <row r="91" spans="1:5" ht="15.75" x14ac:dyDescent="0.2">
      <c r="A91" s="47" t="s">
        <v>6</v>
      </c>
      <c r="B91" s="47" t="s">
        <v>894</v>
      </c>
      <c r="C91" s="47" t="s">
        <v>893</v>
      </c>
      <c r="D91" s="47" t="s">
        <v>892</v>
      </c>
      <c r="E91" s="47" t="s">
        <v>891</v>
      </c>
    </row>
    <row r="92" spans="1:5" ht="15" x14ac:dyDescent="0.2">
      <c r="A92" s="40" t="s">
        <v>890</v>
      </c>
      <c r="B92" s="40"/>
      <c r="C92" s="40"/>
      <c r="D92" s="40"/>
      <c r="E92" s="40"/>
    </row>
    <row r="93" spans="1:5" ht="15" x14ac:dyDescent="0.2">
      <c r="A93" s="41" t="s">
        <v>889</v>
      </c>
      <c r="B93" s="40"/>
      <c r="C93" s="40"/>
      <c r="D93" s="40" t="s">
        <v>785</v>
      </c>
      <c r="E93" s="40" t="s">
        <v>778</v>
      </c>
    </row>
    <row r="94" spans="1:5" ht="15" x14ac:dyDescent="0.2">
      <c r="A94" s="41" t="s">
        <v>888</v>
      </c>
      <c r="B94" s="40"/>
      <c r="C94" s="40"/>
      <c r="D94" s="40" t="s">
        <v>887</v>
      </c>
      <c r="E94" s="40" t="s">
        <v>778</v>
      </c>
    </row>
    <row r="95" spans="1:5" ht="15" x14ac:dyDescent="0.2">
      <c r="A95" s="41" t="s">
        <v>886</v>
      </c>
      <c r="B95" s="40"/>
      <c r="C95" s="40"/>
      <c r="D95" s="40" t="s">
        <v>885</v>
      </c>
      <c r="E95" s="40" t="s">
        <v>778</v>
      </c>
    </row>
    <row r="96" spans="1:5" ht="15" x14ac:dyDescent="0.2">
      <c r="A96" s="40" t="s">
        <v>884</v>
      </c>
      <c r="B96" s="40"/>
      <c r="C96" s="40"/>
      <c r="D96" s="40"/>
      <c r="E96" s="40"/>
    </row>
    <row r="97" spans="1:5" ht="15" x14ac:dyDescent="0.2">
      <c r="A97" s="41" t="s">
        <v>883</v>
      </c>
      <c r="B97" s="40"/>
      <c r="C97" s="40"/>
      <c r="D97" s="40" t="s">
        <v>882</v>
      </c>
      <c r="E97" s="40" t="s">
        <v>778</v>
      </c>
    </row>
    <row r="98" spans="1:5" ht="15" x14ac:dyDescent="0.2">
      <c r="A98" s="41" t="s">
        <v>881</v>
      </c>
      <c r="B98" s="40"/>
      <c r="C98" s="40"/>
      <c r="D98" s="40" t="s">
        <v>880</v>
      </c>
      <c r="E98" s="40" t="s">
        <v>778</v>
      </c>
    </row>
    <row r="99" spans="1:5" ht="15" x14ac:dyDescent="0.2">
      <c r="A99" s="41" t="s">
        <v>879</v>
      </c>
      <c r="B99" s="40"/>
      <c r="C99" s="40"/>
      <c r="D99" s="40" t="s">
        <v>878</v>
      </c>
      <c r="E99" s="40" t="s">
        <v>778</v>
      </c>
    </row>
    <row r="101" spans="1:5" x14ac:dyDescent="0.2">
      <c r="A101" s="49" t="s">
        <v>877</v>
      </c>
      <c r="B101" s="10" t="s">
        <v>764</v>
      </c>
    </row>
    <row r="103" spans="1:5" x14ac:dyDescent="0.2">
      <c r="A103" s="10" t="s">
        <v>876</v>
      </c>
    </row>
    <row r="104" spans="1:5" x14ac:dyDescent="0.2">
      <c r="A104" s="48" t="s">
        <v>875</v>
      </c>
    </row>
    <row r="105" spans="1:5" x14ac:dyDescent="0.2">
      <c r="A105" s="10" t="s">
        <v>874</v>
      </c>
    </row>
    <row r="106" spans="1:5" ht="31.5" x14ac:dyDescent="0.2">
      <c r="A106" s="47" t="s">
        <v>873</v>
      </c>
      <c r="B106" s="47" t="s">
        <v>872</v>
      </c>
      <c r="C106" s="47" t="s">
        <v>871</v>
      </c>
      <c r="D106" s="47" t="s">
        <v>870</v>
      </c>
    </row>
    <row r="107" spans="1:5" ht="15" x14ac:dyDescent="0.2">
      <c r="A107" s="41" t="s">
        <v>869</v>
      </c>
      <c r="B107" s="40"/>
      <c r="C107" s="40" t="s">
        <v>14</v>
      </c>
      <c r="D107" s="40"/>
    </row>
    <row r="108" spans="1:5" ht="15" x14ac:dyDescent="0.2">
      <c r="A108" s="41" t="s">
        <v>868</v>
      </c>
      <c r="B108" s="40"/>
      <c r="C108" s="40" t="s">
        <v>864</v>
      </c>
      <c r="D108" s="40"/>
    </row>
    <row r="109" spans="1:5" ht="15" x14ac:dyDescent="0.2">
      <c r="A109" s="41" t="s">
        <v>867</v>
      </c>
      <c r="B109" s="40"/>
      <c r="C109" s="40" t="s">
        <v>864</v>
      </c>
      <c r="D109" s="40"/>
    </row>
    <row r="110" spans="1:5" ht="15" x14ac:dyDescent="0.2">
      <c r="A110" s="41" t="s">
        <v>866</v>
      </c>
      <c r="B110" s="40"/>
      <c r="C110" s="40" t="s">
        <v>222</v>
      </c>
      <c r="D110" s="40"/>
    </row>
    <row r="111" spans="1:5" ht="15" x14ac:dyDescent="0.2">
      <c r="A111" s="41" t="s">
        <v>865</v>
      </c>
      <c r="B111" s="40"/>
      <c r="C111" s="40" t="s">
        <v>864</v>
      </c>
      <c r="D111" s="40"/>
    </row>
    <row r="112" spans="1:5" ht="15" x14ac:dyDescent="0.2">
      <c r="A112" s="41" t="s">
        <v>863</v>
      </c>
      <c r="B112" s="40"/>
      <c r="C112" s="40" t="s">
        <v>222</v>
      </c>
      <c r="D112" s="40"/>
    </row>
    <row r="113" spans="1:4" ht="15" x14ac:dyDescent="0.2">
      <c r="A113" s="41" t="s">
        <v>862</v>
      </c>
      <c r="B113" s="40"/>
      <c r="C113" s="40" t="s">
        <v>222</v>
      </c>
      <c r="D113" s="40"/>
    </row>
    <row r="114" spans="1:4" ht="15" x14ac:dyDescent="0.2">
      <c r="A114" s="41" t="s">
        <v>861</v>
      </c>
      <c r="B114" s="40"/>
      <c r="C114" s="40" t="s">
        <v>860</v>
      </c>
      <c r="D114" s="40"/>
    </row>
    <row r="116" spans="1:4" x14ac:dyDescent="0.2">
      <c r="A116" s="10" t="s">
        <v>859</v>
      </c>
      <c r="B116" s="10" t="s">
        <v>858</v>
      </c>
    </row>
    <row r="118" spans="1:4" x14ac:dyDescent="0.2">
      <c r="A118" s="48" t="s">
        <v>857</v>
      </c>
    </row>
    <row r="119" spans="1:4" ht="15.75" x14ac:dyDescent="0.2">
      <c r="A119" s="47" t="s">
        <v>856</v>
      </c>
      <c r="B119" s="47" t="s">
        <v>855</v>
      </c>
      <c r="C119" s="47" t="s">
        <v>854</v>
      </c>
      <c r="D119" s="47" t="s">
        <v>853</v>
      </c>
    </row>
    <row r="120" spans="1:4" ht="15" x14ac:dyDescent="0.2">
      <c r="A120" s="41" t="s">
        <v>852</v>
      </c>
      <c r="B120" s="40" t="s">
        <v>778</v>
      </c>
      <c r="C120" s="40" t="s">
        <v>849</v>
      </c>
      <c r="D120" s="40" t="s">
        <v>778</v>
      </c>
    </row>
    <row r="121" spans="1:4" ht="15" x14ac:dyDescent="0.2">
      <c r="A121" s="41" t="s">
        <v>851</v>
      </c>
      <c r="B121" s="40" t="s">
        <v>778</v>
      </c>
      <c r="C121" s="40" t="s">
        <v>847</v>
      </c>
      <c r="D121" s="40" t="s">
        <v>778</v>
      </c>
    </row>
    <row r="122" spans="1:4" ht="15" x14ac:dyDescent="0.2">
      <c r="A122" s="41" t="s">
        <v>850</v>
      </c>
      <c r="B122" s="40" t="s">
        <v>778</v>
      </c>
      <c r="C122" s="40" t="s">
        <v>849</v>
      </c>
      <c r="D122" s="40" t="s">
        <v>778</v>
      </c>
    </row>
    <row r="123" spans="1:4" ht="15" x14ac:dyDescent="0.2">
      <c r="A123" s="41" t="s">
        <v>848</v>
      </c>
      <c r="B123" s="40" t="s">
        <v>778</v>
      </c>
      <c r="C123" s="40" t="s">
        <v>847</v>
      </c>
      <c r="D123" s="40" t="s">
        <v>778</v>
      </c>
    </row>
    <row r="125" spans="1:4" x14ac:dyDescent="0.2">
      <c r="A125" s="10" t="s">
        <v>846</v>
      </c>
      <c r="B125" s="10" t="s">
        <v>764</v>
      </c>
    </row>
    <row r="127" spans="1:4" x14ac:dyDescent="0.2">
      <c r="A127" s="10" t="s">
        <v>845</v>
      </c>
    </row>
    <row r="128" spans="1:4" x14ac:dyDescent="0.2">
      <c r="A128" s="48" t="s">
        <v>844</v>
      </c>
    </row>
    <row r="129" spans="1:5" x14ac:dyDescent="0.2">
      <c r="A129" s="10" t="s">
        <v>843</v>
      </c>
    </row>
    <row r="130" spans="1:5" ht="31.5" x14ac:dyDescent="0.2">
      <c r="A130" s="47" t="s">
        <v>842</v>
      </c>
      <c r="B130" s="47" t="s">
        <v>841</v>
      </c>
      <c r="C130" s="47" t="s">
        <v>840</v>
      </c>
      <c r="D130" s="47" t="s">
        <v>839</v>
      </c>
      <c r="E130" s="47" t="s">
        <v>838</v>
      </c>
    </row>
    <row r="131" spans="1:5" ht="15" x14ac:dyDescent="0.2">
      <c r="A131" s="40" t="s">
        <v>651</v>
      </c>
      <c r="B131" s="40"/>
      <c r="C131" s="40"/>
      <c r="D131" s="40"/>
      <c r="E131" s="40"/>
    </row>
    <row r="132" spans="1:5" ht="15" x14ac:dyDescent="0.2">
      <c r="A132" s="40" t="s">
        <v>650</v>
      </c>
      <c r="B132" s="40"/>
      <c r="C132" s="40"/>
      <c r="D132" s="40"/>
      <c r="E132" s="40"/>
    </row>
    <row r="133" spans="1:5" ht="15" x14ac:dyDescent="0.2">
      <c r="A133" s="40" t="s">
        <v>649</v>
      </c>
      <c r="B133" s="40"/>
      <c r="C133" s="40"/>
      <c r="D133" s="40"/>
      <c r="E133" s="40"/>
    </row>
    <row r="134" spans="1:5" ht="15" x14ac:dyDescent="0.2">
      <c r="A134" s="40" t="s">
        <v>837</v>
      </c>
      <c r="B134" s="40"/>
      <c r="C134" s="40"/>
      <c r="D134" s="40"/>
      <c r="E134" s="40"/>
    </row>
    <row r="136" spans="1:5" x14ac:dyDescent="0.2">
      <c r="A136" s="48" t="s">
        <v>836</v>
      </c>
    </row>
    <row r="137" spans="1:5" x14ac:dyDescent="0.2">
      <c r="A137" s="10" t="s">
        <v>835</v>
      </c>
    </row>
    <row r="138" spans="1:5" ht="31.5" x14ac:dyDescent="0.2">
      <c r="A138" s="47" t="s">
        <v>834</v>
      </c>
      <c r="B138" s="47" t="s">
        <v>833</v>
      </c>
      <c r="C138" s="47" t="s">
        <v>832</v>
      </c>
      <c r="D138" s="47" t="s">
        <v>831</v>
      </c>
    </row>
    <row r="139" spans="1:5" ht="30" x14ac:dyDescent="0.2">
      <c r="A139" s="40" t="s">
        <v>830</v>
      </c>
      <c r="B139" s="40"/>
      <c r="C139" s="40"/>
      <c r="D139" s="40"/>
    </row>
    <row r="140" spans="1:5" ht="15" x14ac:dyDescent="0.2">
      <c r="A140" s="40" t="s">
        <v>829</v>
      </c>
      <c r="B140" s="40"/>
      <c r="C140" s="40"/>
      <c r="D140" s="40"/>
    </row>
    <row r="141" spans="1:5" ht="15" x14ac:dyDescent="0.2">
      <c r="A141" s="40" t="s">
        <v>828</v>
      </c>
      <c r="B141" s="40"/>
      <c r="C141" s="40"/>
      <c r="D141" s="40"/>
    </row>
    <row r="143" spans="1:5" x14ac:dyDescent="0.2">
      <c r="A143" s="48" t="s">
        <v>827</v>
      </c>
    </row>
    <row r="144" spans="1:5" x14ac:dyDescent="0.2">
      <c r="A144" s="21" t="s">
        <v>826</v>
      </c>
      <c r="B144" s="10" t="s">
        <v>825</v>
      </c>
    </row>
    <row r="146" spans="1:5" x14ac:dyDescent="0.2">
      <c r="A146" s="21" t="s">
        <v>824</v>
      </c>
    </row>
    <row r="148" spans="1:5" x14ac:dyDescent="0.2">
      <c r="A148" s="10" t="s">
        <v>823</v>
      </c>
      <c r="B148" s="10" t="s">
        <v>759</v>
      </c>
    </row>
    <row r="150" spans="1:5" x14ac:dyDescent="0.2">
      <c r="A150" s="10" t="s">
        <v>822</v>
      </c>
    </row>
    <row r="151" spans="1:5" x14ac:dyDescent="0.2">
      <c r="A151" s="10" t="s">
        <v>821</v>
      </c>
    </row>
    <row r="152" spans="1:5" ht="15.75" x14ac:dyDescent="0.2">
      <c r="A152" s="47" t="s">
        <v>820</v>
      </c>
      <c r="B152" s="47" t="s">
        <v>6</v>
      </c>
      <c r="C152" s="47" t="s">
        <v>617</v>
      </c>
      <c r="D152" s="47" t="s">
        <v>819</v>
      </c>
      <c r="E152" s="47" t="s">
        <v>818</v>
      </c>
    </row>
    <row r="153" spans="1:5" ht="15" x14ac:dyDescent="0.2">
      <c r="A153" s="40" t="s">
        <v>817</v>
      </c>
      <c r="B153" s="40"/>
      <c r="C153" s="40"/>
      <c r="D153" s="40"/>
      <c r="E153" s="40"/>
    </row>
    <row r="154" spans="1:5" s="21" customFormat="1" x14ac:dyDescent="0.2">
      <c r="A154" s="46" t="s">
        <v>816</v>
      </c>
      <c r="B154" s="45" t="s">
        <v>815</v>
      </c>
      <c r="C154" s="44" t="s">
        <v>785</v>
      </c>
      <c r="D154" s="44" t="s">
        <v>761</v>
      </c>
      <c r="E154" s="44" t="s">
        <v>803</v>
      </c>
    </row>
    <row r="155" spans="1:5" s="21" customFormat="1" x14ac:dyDescent="0.2">
      <c r="A155" s="46" t="s">
        <v>814</v>
      </c>
      <c r="B155" s="45" t="s">
        <v>813</v>
      </c>
      <c r="C155" s="44" t="s">
        <v>778</v>
      </c>
      <c r="D155" s="44" t="s">
        <v>778</v>
      </c>
      <c r="E155" s="44" t="s">
        <v>803</v>
      </c>
    </row>
    <row r="156" spans="1:5" s="21" customFormat="1" x14ac:dyDescent="0.2">
      <c r="A156" s="46" t="s">
        <v>812</v>
      </c>
      <c r="B156" s="45" t="s">
        <v>811</v>
      </c>
      <c r="C156" s="44" t="s">
        <v>785</v>
      </c>
      <c r="D156" s="44" t="s">
        <v>761</v>
      </c>
      <c r="E156" s="44" t="s">
        <v>803</v>
      </c>
    </row>
    <row r="157" spans="1:5" s="21" customFormat="1" x14ac:dyDescent="0.2">
      <c r="A157" s="44" t="s">
        <v>810</v>
      </c>
      <c r="B157" s="44"/>
      <c r="C157" s="44"/>
      <c r="D157" s="44"/>
      <c r="E157" s="44"/>
    </row>
    <row r="158" spans="1:5" s="21" customFormat="1" x14ac:dyDescent="0.2">
      <c r="A158" s="46" t="s">
        <v>809</v>
      </c>
      <c r="B158" s="45" t="s">
        <v>808</v>
      </c>
      <c r="C158" s="44" t="s">
        <v>785</v>
      </c>
      <c r="D158" s="44" t="s">
        <v>761</v>
      </c>
      <c r="E158" s="44" t="s">
        <v>803</v>
      </c>
    </row>
    <row r="159" spans="1:5" s="21" customFormat="1" x14ac:dyDescent="0.2">
      <c r="A159" s="46" t="s">
        <v>807</v>
      </c>
      <c r="B159" s="45" t="s">
        <v>806</v>
      </c>
      <c r="C159" s="44"/>
      <c r="D159" s="44"/>
      <c r="E159" s="44" t="s">
        <v>803</v>
      </c>
    </row>
    <row r="160" spans="1:5" s="21" customFormat="1" x14ac:dyDescent="0.2">
      <c r="A160" s="46" t="s">
        <v>805</v>
      </c>
      <c r="B160" s="45" t="s">
        <v>804</v>
      </c>
      <c r="C160" s="44" t="s">
        <v>785</v>
      </c>
      <c r="D160" s="44" t="s">
        <v>761</v>
      </c>
      <c r="E160" s="44" t="s">
        <v>803</v>
      </c>
    </row>
    <row r="162" spans="1:5" ht="18" x14ac:dyDescent="0.25">
      <c r="A162" s="30" t="s">
        <v>802</v>
      </c>
      <c r="B162" s="30"/>
      <c r="C162" s="30"/>
      <c r="D162" s="30"/>
      <c r="E162" s="30"/>
    </row>
    <row r="163" spans="1:5" x14ac:dyDescent="0.2">
      <c r="A163" s="86" t="s">
        <v>801</v>
      </c>
      <c r="B163" s="86"/>
    </row>
    <row r="164" spans="1:5" x14ac:dyDescent="0.2">
      <c r="A164" s="25" t="s">
        <v>800</v>
      </c>
    </row>
    <row r="165" spans="1:5" x14ac:dyDescent="0.2">
      <c r="A165" s="86" t="s">
        <v>799</v>
      </c>
      <c r="B165" s="86"/>
    </row>
    <row r="166" spans="1:5" x14ac:dyDescent="0.2">
      <c r="A166" s="25" t="s">
        <v>798</v>
      </c>
    </row>
    <row r="167" spans="1:5" x14ac:dyDescent="0.2">
      <c r="A167" s="86" t="s">
        <v>797</v>
      </c>
      <c r="B167" s="86"/>
    </row>
    <row r="168" spans="1:5" x14ac:dyDescent="0.2">
      <c r="A168" s="25" t="s">
        <v>796</v>
      </c>
    </row>
    <row r="169" spans="1:5" x14ac:dyDescent="0.2">
      <c r="A169" s="86" t="s">
        <v>795</v>
      </c>
      <c r="B169" s="86"/>
    </row>
    <row r="170" spans="1:5" x14ac:dyDescent="0.2">
      <c r="A170" s="25" t="s">
        <v>794</v>
      </c>
    </row>
    <row r="171" spans="1:5" x14ac:dyDescent="0.2">
      <c r="A171" s="86" t="s">
        <v>793</v>
      </c>
      <c r="B171" s="86"/>
    </row>
    <row r="172" spans="1:5" x14ac:dyDescent="0.2">
      <c r="A172" s="25" t="s">
        <v>792</v>
      </c>
    </row>
    <row r="173" spans="1:5" ht="15.75" x14ac:dyDescent="0.25">
      <c r="A173" s="43" t="s">
        <v>791</v>
      </c>
    </row>
    <row r="174" spans="1:5" x14ac:dyDescent="0.2">
      <c r="A174" s="10" t="s">
        <v>790</v>
      </c>
    </row>
    <row r="175" spans="1:5" ht="31.5" x14ac:dyDescent="0.2">
      <c r="A175" s="42" t="s">
        <v>789</v>
      </c>
      <c r="B175" s="42" t="s">
        <v>719</v>
      </c>
      <c r="C175" s="42" t="s">
        <v>788</v>
      </c>
      <c r="D175" s="42" t="s">
        <v>787</v>
      </c>
    </row>
    <row r="176" spans="1:5" ht="15" x14ac:dyDescent="0.2">
      <c r="A176" s="41" t="s">
        <v>786</v>
      </c>
      <c r="B176" s="40" t="s">
        <v>785</v>
      </c>
      <c r="C176" s="40" t="s">
        <v>784</v>
      </c>
      <c r="D176" s="40" t="s">
        <v>783</v>
      </c>
    </row>
    <row r="177" spans="1:4" ht="15" x14ac:dyDescent="0.2">
      <c r="A177" s="41" t="s">
        <v>782</v>
      </c>
      <c r="B177" s="40"/>
      <c r="C177" s="40" t="s">
        <v>781</v>
      </c>
      <c r="D177" s="40" t="s">
        <v>780</v>
      </c>
    </row>
    <row r="178" spans="1:4" ht="15" x14ac:dyDescent="0.2">
      <c r="A178" s="41" t="s">
        <v>779</v>
      </c>
      <c r="B178" s="40" t="s">
        <v>778</v>
      </c>
      <c r="C178" s="40" t="s">
        <v>777</v>
      </c>
      <c r="D178" s="40" t="s">
        <v>776</v>
      </c>
    </row>
    <row r="179" spans="1:4" ht="15" x14ac:dyDescent="0.2">
      <c r="A179" s="41" t="s">
        <v>775</v>
      </c>
      <c r="B179" s="40" t="s">
        <v>774</v>
      </c>
      <c r="C179" s="40" t="s">
        <v>773</v>
      </c>
      <c r="D179" s="40" t="s">
        <v>772</v>
      </c>
    </row>
    <row r="181" spans="1:4" x14ac:dyDescent="0.2">
      <c r="A181" s="86" t="s">
        <v>771</v>
      </c>
      <c r="B181" s="86"/>
    </row>
    <row r="182" spans="1:4" x14ac:dyDescent="0.2">
      <c r="A182" s="25" t="s">
        <v>770</v>
      </c>
    </row>
    <row r="183" spans="1:4" x14ac:dyDescent="0.2">
      <c r="A183" s="25" t="s">
        <v>769</v>
      </c>
    </row>
    <row r="184" spans="1:4" x14ac:dyDescent="0.2">
      <c r="A184" s="25" t="s">
        <v>768</v>
      </c>
    </row>
    <row r="185" spans="1:4" x14ac:dyDescent="0.2">
      <c r="A185" s="10" t="s">
        <v>767</v>
      </c>
    </row>
    <row r="186" spans="1:4" x14ac:dyDescent="0.2">
      <c r="A186" s="10" t="s">
        <v>766</v>
      </c>
      <c r="B186" s="10" t="s">
        <v>764</v>
      </c>
    </row>
    <row r="187" spans="1:4" x14ac:dyDescent="0.2">
      <c r="A187" s="10" t="s">
        <v>765</v>
      </c>
      <c r="B187" s="10" t="s">
        <v>764</v>
      </c>
    </row>
    <row r="188" spans="1:4" x14ac:dyDescent="0.2">
      <c r="A188" s="10" t="s">
        <v>763</v>
      </c>
      <c r="B188" s="10" t="s">
        <v>761</v>
      </c>
    </row>
    <row r="189" spans="1:4" x14ac:dyDescent="0.2">
      <c r="A189" s="10" t="s">
        <v>762</v>
      </c>
      <c r="B189" s="10" t="s">
        <v>761</v>
      </c>
    </row>
    <row r="190" spans="1:4" x14ac:dyDescent="0.2">
      <c r="A190" s="10" t="s">
        <v>760</v>
      </c>
      <c r="B190" s="10" t="s">
        <v>759</v>
      </c>
    </row>
    <row r="192" spans="1:4" x14ac:dyDescent="0.2">
      <c r="A192" s="10" t="s">
        <v>758</v>
      </c>
    </row>
    <row r="193" spans="1:3" x14ac:dyDescent="0.2">
      <c r="A193" s="10" t="s">
        <v>757</v>
      </c>
    </row>
    <row r="194" spans="1:3" x14ac:dyDescent="0.2">
      <c r="A194" s="10" t="s">
        <v>756</v>
      </c>
    </row>
    <row r="197" spans="1:3" x14ac:dyDescent="0.2">
      <c r="A197" s="10" t="s">
        <v>755</v>
      </c>
    </row>
    <row r="198" spans="1:3" x14ac:dyDescent="0.2">
      <c r="A198" s="10" t="s">
        <v>605</v>
      </c>
    </row>
    <row r="199" spans="1:3" x14ac:dyDescent="0.2">
      <c r="A199" s="10" t="s">
        <v>754</v>
      </c>
    </row>
    <row r="200" spans="1:3" x14ac:dyDescent="0.2">
      <c r="A200" s="10" t="s">
        <v>605</v>
      </c>
    </row>
    <row r="201" spans="1:3" x14ac:dyDescent="0.2">
      <c r="A201" s="87" t="s">
        <v>753</v>
      </c>
      <c r="B201" s="87"/>
      <c r="C201" s="87"/>
    </row>
    <row r="202" spans="1:3" x14ac:dyDescent="0.2">
      <c r="A202" s="87"/>
      <c r="B202" s="87"/>
      <c r="C202" s="87"/>
    </row>
  </sheetData>
  <mergeCells count="10">
    <mergeCell ref="A1:C1"/>
    <mergeCell ref="A171:B171"/>
    <mergeCell ref="A201:C202"/>
    <mergeCell ref="A16:B16"/>
    <mergeCell ref="A181:B181"/>
    <mergeCell ref="A2:C2"/>
    <mergeCell ref="A163:B163"/>
    <mergeCell ref="A165:B165"/>
    <mergeCell ref="A167:B167"/>
    <mergeCell ref="A169:B16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77E1-FD08-4F44-A5E6-D26543C82879}">
  <dimension ref="A1:D70"/>
  <sheetViews>
    <sheetView topLeftCell="A48" zoomScale="130" zoomScaleNormal="130" workbookViewId="0">
      <selection activeCell="A58" sqref="A58"/>
    </sheetView>
  </sheetViews>
  <sheetFormatPr defaultRowHeight="12.75" x14ac:dyDescent="0.2"/>
  <cols>
    <col min="1" max="1" width="62" style="10" customWidth="1"/>
    <col min="2" max="2" width="36.42578125" style="10" customWidth="1"/>
    <col min="3" max="3" width="50.140625" style="10" bestFit="1" customWidth="1"/>
    <col min="4" max="4" width="37" style="10" customWidth="1"/>
    <col min="5" max="16384" width="9.140625" style="10"/>
  </cols>
  <sheetData>
    <row r="1" spans="1:3" x14ac:dyDescent="0.2">
      <c r="A1" s="21" t="s">
        <v>1414</v>
      </c>
    </row>
    <row r="2" spans="1:3" x14ac:dyDescent="0.2">
      <c r="A2" s="21" t="s">
        <v>1413</v>
      </c>
    </row>
    <row r="3" spans="1:3" x14ac:dyDescent="0.2">
      <c r="A3" s="10" t="s">
        <v>1302</v>
      </c>
      <c r="B3" s="10" t="s">
        <v>1412</v>
      </c>
    </row>
    <row r="5" spans="1:3" x14ac:dyDescent="0.2">
      <c r="A5" s="68"/>
    </row>
    <row r="7" spans="1:3" ht="14.25" x14ac:dyDescent="0.2">
      <c r="A7" s="35" t="s">
        <v>1411</v>
      </c>
    </row>
    <row r="8" spans="1:3" x14ac:dyDescent="0.2">
      <c r="A8" s="67" t="s">
        <v>1410</v>
      </c>
      <c r="B8" s="67" t="s">
        <v>1409</v>
      </c>
      <c r="C8" s="67" t="s">
        <v>578</v>
      </c>
    </row>
    <row r="9" spans="1:3" x14ac:dyDescent="0.2">
      <c r="A9" s="25" t="s">
        <v>1408</v>
      </c>
      <c r="B9" s="66" t="s">
        <v>1185</v>
      </c>
      <c r="C9" s="10" t="s">
        <v>1407</v>
      </c>
    </row>
    <row r="10" spans="1:3" x14ac:dyDescent="0.2">
      <c r="A10" s="25" t="s">
        <v>1406</v>
      </c>
      <c r="B10" s="66" t="s">
        <v>1185</v>
      </c>
      <c r="C10" s="10" t="s">
        <v>1405</v>
      </c>
    </row>
    <row r="11" spans="1:3" x14ac:dyDescent="0.2">
      <c r="A11" s="25" t="s">
        <v>1404</v>
      </c>
      <c r="B11" s="66" t="s">
        <v>1185</v>
      </c>
      <c r="C11" s="10" t="s">
        <v>1403</v>
      </c>
    </row>
    <row r="12" spans="1:3" x14ac:dyDescent="0.2">
      <c r="A12" s="25" t="s">
        <v>1402</v>
      </c>
      <c r="B12" s="66" t="s">
        <v>1185</v>
      </c>
      <c r="C12" s="10" t="s">
        <v>1401</v>
      </c>
    </row>
    <row r="13" spans="1:3" x14ac:dyDescent="0.2">
      <c r="A13" s="25" t="s">
        <v>1400</v>
      </c>
      <c r="B13" s="66" t="s">
        <v>1185</v>
      </c>
      <c r="C13" s="10" t="s">
        <v>1399</v>
      </c>
    </row>
    <row r="14" spans="1:3" x14ac:dyDescent="0.2">
      <c r="A14" s="25" t="s">
        <v>1398</v>
      </c>
      <c r="B14" s="66" t="s">
        <v>1185</v>
      </c>
      <c r="C14" s="10" t="s">
        <v>1397</v>
      </c>
    </row>
    <row r="16" spans="1:3" ht="14.25" x14ac:dyDescent="0.2">
      <c r="A16" s="35" t="s">
        <v>1396</v>
      </c>
    </row>
    <row r="17" spans="1:4" x14ac:dyDescent="0.2">
      <c r="A17" s="63" t="s">
        <v>1395</v>
      </c>
    </row>
    <row r="18" spans="1:4" x14ac:dyDescent="0.2">
      <c r="A18" s="64" t="s">
        <v>1394</v>
      </c>
      <c r="B18" s="65" t="s">
        <v>1393</v>
      </c>
      <c r="C18" s="64" t="s">
        <v>1392</v>
      </c>
    </row>
    <row r="19" spans="1:4" x14ac:dyDescent="0.2">
      <c r="A19" s="10" t="s">
        <v>1391</v>
      </c>
      <c r="B19" s="10" t="s">
        <v>1390</v>
      </c>
      <c r="C19" s="10" t="s">
        <v>1389</v>
      </c>
    </row>
    <row r="20" spans="1:4" x14ac:dyDescent="0.2">
      <c r="A20" s="10" t="s">
        <v>1388</v>
      </c>
      <c r="B20" s="10" t="s">
        <v>1387</v>
      </c>
      <c r="C20" s="10" t="s">
        <v>1386</v>
      </c>
    </row>
    <row r="21" spans="1:4" x14ac:dyDescent="0.2">
      <c r="A21" s="10" t="s">
        <v>1385</v>
      </c>
      <c r="B21" s="10" t="s">
        <v>1384</v>
      </c>
      <c r="C21" s="10" t="s">
        <v>1383</v>
      </c>
    </row>
    <row r="23" spans="1:4" x14ac:dyDescent="0.2">
      <c r="A23" s="63" t="s">
        <v>1382</v>
      </c>
    </row>
    <row r="24" spans="1:4" x14ac:dyDescent="0.2">
      <c r="A24" s="64" t="s">
        <v>1381</v>
      </c>
      <c r="B24" s="64" t="s">
        <v>1380</v>
      </c>
      <c r="C24" s="64" t="s">
        <v>1379</v>
      </c>
      <c r="D24" s="64" t="s">
        <v>1378</v>
      </c>
    </row>
    <row r="25" spans="1:4" x14ac:dyDescent="0.2">
      <c r="A25" s="10" t="s">
        <v>1377</v>
      </c>
      <c r="B25" s="10" t="s">
        <v>1376</v>
      </c>
      <c r="C25" s="10" t="s">
        <v>1375</v>
      </c>
      <c r="D25" s="10" t="s">
        <v>1374</v>
      </c>
    </row>
    <row r="26" spans="1:4" x14ac:dyDescent="0.2">
      <c r="A26" s="10" t="s">
        <v>1373</v>
      </c>
      <c r="B26" s="10" t="s">
        <v>1372</v>
      </c>
      <c r="C26" s="10" t="s">
        <v>1371</v>
      </c>
      <c r="D26" s="10" t="s">
        <v>1370</v>
      </c>
    </row>
    <row r="27" spans="1:4" x14ac:dyDescent="0.2">
      <c r="A27" s="10" t="s">
        <v>1369</v>
      </c>
      <c r="B27" s="10" t="s">
        <v>1368</v>
      </c>
      <c r="C27" s="10" t="s">
        <v>1367</v>
      </c>
      <c r="D27" s="10" t="s">
        <v>1366</v>
      </c>
    </row>
    <row r="28" spans="1:4" x14ac:dyDescent="0.2">
      <c r="A28" s="10" t="s">
        <v>1365</v>
      </c>
      <c r="B28" s="10" t="s">
        <v>1364</v>
      </c>
      <c r="C28" s="10" t="s">
        <v>1363</v>
      </c>
      <c r="D28" s="10" t="s">
        <v>1362</v>
      </c>
    </row>
    <row r="29" spans="1:4" x14ac:dyDescent="0.2">
      <c r="A29" s="10" t="s">
        <v>1361</v>
      </c>
      <c r="B29" s="10" t="s">
        <v>1360</v>
      </c>
      <c r="C29" s="10" t="s">
        <v>1359</v>
      </c>
      <c r="D29" s="10" t="s">
        <v>1358</v>
      </c>
    </row>
    <row r="30" spans="1:4" x14ac:dyDescent="0.2">
      <c r="A30" s="10" t="s">
        <v>1357</v>
      </c>
      <c r="B30" s="10" t="s">
        <v>1356</v>
      </c>
      <c r="C30" s="10" t="s">
        <v>1355</v>
      </c>
      <c r="D30" s="10" t="s">
        <v>1354</v>
      </c>
    </row>
    <row r="32" spans="1:4" x14ac:dyDescent="0.2">
      <c r="A32" s="63" t="s">
        <v>1353</v>
      </c>
    </row>
    <row r="33" spans="1:3" x14ac:dyDescent="0.2">
      <c r="A33" s="64" t="s">
        <v>1352</v>
      </c>
      <c r="B33" s="64" t="s">
        <v>1193</v>
      </c>
      <c r="C33" s="64" t="s">
        <v>8</v>
      </c>
    </row>
    <row r="34" spans="1:3" x14ac:dyDescent="0.2">
      <c r="A34" s="10" t="s">
        <v>1351</v>
      </c>
      <c r="B34" s="10" t="s">
        <v>1350</v>
      </c>
      <c r="C34" s="10" t="s">
        <v>1349</v>
      </c>
    </row>
    <row r="35" spans="1:3" x14ac:dyDescent="0.2">
      <c r="A35" s="10" t="s">
        <v>1348</v>
      </c>
      <c r="B35" s="10" t="s">
        <v>1347</v>
      </c>
      <c r="C35" s="10" t="s">
        <v>1346</v>
      </c>
    </row>
    <row r="36" spans="1:3" x14ac:dyDescent="0.2">
      <c r="A36" s="10" t="s">
        <v>1345</v>
      </c>
      <c r="B36" s="10" t="s">
        <v>1344</v>
      </c>
      <c r="C36" s="10" t="s">
        <v>1343</v>
      </c>
    </row>
    <row r="37" spans="1:3" x14ac:dyDescent="0.2">
      <c r="A37" s="10" t="s">
        <v>1342</v>
      </c>
      <c r="B37" s="10" t="s">
        <v>1341</v>
      </c>
      <c r="C37" s="10" t="s">
        <v>1340</v>
      </c>
    </row>
    <row r="38" spans="1:3" x14ac:dyDescent="0.2">
      <c r="A38" s="10" t="s">
        <v>1339</v>
      </c>
      <c r="B38" s="10" t="s">
        <v>1338</v>
      </c>
      <c r="C38" s="10" t="s">
        <v>1337</v>
      </c>
    </row>
    <row r="40" spans="1:3" x14ac:dyDescent="0.2">
      <c r="A40" s="63" t="s">
        <v>1336</v>
      </c>
    </row>
    <row r="41" spans="1:3" x14ac:dyDescent="0.2">
      <c r="A41" s="10" t="s">
        <v>1335</v>
      </c>
    </row>
    <row r="42" spans="1:3" x14ac:dyDescent="0.2">
      <c r="A42" s="10" t="s">
        <v>1334</v>
      </c>
    </row>
    <row r="43" spans="1:3" x14ac:dyDescent="0.2">
      <c r="A43" s="10" t="s">
        <v>1333</v>
      </c>
    </row>
    <row r="44" spans="1:3" x14ac:dyDescent="0.2">
      <c r="A44" s="10" t="s">
        <v>1332</v>
      </c>
    </row>
    <row r="45" spans="1:3" x14ac:dyDescent="0.2">
      <c r="A45" s="10" t="s">
        <v>1331</v>
      </c>
    </row>
    <row r="46" spans="1:3" x14ac:dyDescent="0.2">
      <c r="A46" s="10" t="s">
        <v>1330</v>
      </c>
    </row>
    <row r="47" spans="1:3" x14ac:dyDescent="0.2">
      <c r="A47" s="63" t="s">
        <v>1329</v>
      </c>
    </row>
    <row r="48" spans="1:3" x14ac:dyDescent="0.2">
      <c r="A48" s="10" t="s">
        <v>1328</v>
      </c>
      <c r="B48" s="10" t="s">
        <v>1327</v>
      </c>
      <c r="C48" s="10" t="s">
        <v>7</v>
      </c>
    </row>
    <row r="49" spans="1:3" x14ac:dyDescent="0.2">
      <c r="A49" s="10" t="s">
        <v>1326</v>
      </c>
      <c r="B49" s="10" t="s">
        <v>51</v>
      </c>
      <c r="C49" s="10" t="s">
        <v>1185</v>
      </c>
    </row>
    <row r="50" spans="1:3" x14ac:dyDescent="0.2">
      <c r="A50" s="10" t="s">
        <v>1325</v>
      </c>
      <c r="B50" s="10" t="s">
        <v>1324</v>
      </c>
      <c r="C50" s="10" t="s">
        <v>1185</v>
      </c>
    </row>
    <row r="51" spans="1:3" x14ac:dyDescent="0.2">
      <c r="A51" s="10" t="s">
        <v>1323</v>
      </c>
      <c r="B51" s="10" t="s">
        <v>1322</v>
      </c>
      <c r="C51" s="10" t="s">
        <v>1185</v>
      </c>
    </row>
    <row r="52" spans="1:3" x14ac:dyDescent="0.2">
      <c r="A52" s="10" t="s">
        <v>1321</v>
      </c>
      <c r="B52" s="10" t="s">
        <v>1320</v>
      </c>
      <c r="C52" s="10" t="s">
        <v>1185</v>
      </c>
    </row>
    <row r="53" spans="1:3" x14ac:dyDescent="0.2">
      <c r="A53" s="10" t="s">
        <v>1319</v>
      </c>
      <c r="B53" s="10" t="s">
        <v>1318</v>
      </c>
      <c r="C53" s="10" t="s">
        <v>1185</v>
      </c>
    </row>
    <row r="55" spans="1:3" x14ac:dyDescent="0.2">
      <c r="A55" s="62" t="s">
        <v>1317</v>
      </c>
    </row>
    <row r="56" spans="1:3" x14ac:dyDescent="0.2">
      <c r="A56" s="10" t="s">
        <v>1316</v>
      </c>
    </row>
    <row r="57" spans="1:3" x14ac:dyDescent="0.2">
      <c r="A57" s="25" t="s">
        <v>1315</v>
      </c>
    </row>
    <row r="58" spans="1:3" x14ac:dyDescent="0.2">
      <c r="A58" s="10" t="s">
        <v>1314</v>
      </c>
    </row>
    <row r="59" spans="1:3" ht="25.5" x14ac:dyDescent="0.2">
      <c r="A59" s="61" t="s">
        <v>1313</v>
      </c>
    </row>
    <row r="60" spans="1:3" x14ac:dyDescent="0.2">
      <c r="A60" s="10" t="s">
        <v>1312</v>
      </c>
    </row>
    <row r="61" spans="1:3" x14ac:dyDescent="0.2">
      <c r="A61" s="25" t="s">
        <v>1311</v>
      </c>
    </row>
    <row r="62" spans="1:3" x14ac:dyDescent="0.2">
      <c r="A62" s="25" t="s">
        <v>1310</v>
      </c>
    </row>
    <row r="63" spans="1:3" x14ac:dyDescent="0.2">
      <c r="A63" s="25" t="s">
        <v>1309</v>
      </c>
    </row>
    <row r="64" spans="1:3" x14ac:dyDescent="0.2">
      <c r="A64" s="10" t="s">
        <v>1023</v>
      </c>
    </row>
    <row r="65" spans="1:2" x14ac:dyDescent="0.2">
      <c r="A65" s="25" t="s">
        <v>1308</v>
      </c>
    </row>
    <row r="66" spans="1:2" x14ac:dyDescent="0.2">
      <c r="A66" s="25" t="s">
        <v>1307</v>
      </c>
    </row>
    <row r="67" spans="1:2" x14ac:dyDescent="0.2">
      <c r="A67" s="10" t="s">
        <v>1306</v>
      </c>
    </row>
    <row r="68" spans="1:2" x14ac:dyDescent="0.2">
      <c r="A68" s="10" t="s">
        <v>1305</v>
      </c>
    </row>
    <row r="69" spans="1:2" x14ac:dyDescent="0.2">
      <c r="A69" s="87" t="s">
        <v>1304</v>
      </c>
      <c r="B69" s="87"/>
    </row>
    <row r="70" spans="1:2" x14ac:dyDescent="0.2">
      <c r="A70" s="87"/>
      <c r="B70" s="87"/>
    </row>
  </sheetData>
  <mergeCells count="1">
    <mergeCell ref="A69:B7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5A21-3775-47F6-B2D7-60C82D991D5F}">
  <dimension ref="A1:E251"/>
  <sheetViews>
    <sheetView topLeftCell="A114" zoomScale="110" zoomScaleNormal="110" workbookViewId="0">
      <selection activeCell="A215" sqref="A215"/>
    </sheetView>
  </sheetViews>
  <sheetFormatPr defaultColWidth="11.42578125" defaultRowHeight="12.75" x14ac:dyDescent="0.2"/>
  <cols>
    <col min="1" max="1" width="77" style="10" customWidth="1"/>
    <col min="2" max="2" width="42.140625" style="10" customWidth="1"/>
    <col min="3" max="3" width="34.7109375" style="10" customWidth="1"/>
    <col min="4" max="4" width="38.7109375" style="10" customWidth="1"/>
    <col min="5" max="5" width="40.140625" style="10" customWidth="1"/>
    <col min="6" max="16384" width="11.42578125" style="10"/>
  </cols>
  <sheetData>
    <row r="1" spans="1:5" x14ac:dyDescent="0.2">
      <c r="A1" s="21" t="s">
        <v>1303</v>
      </c>
    </row>
    <row r="2" spans="1:5" ht="12.75" customHeight="1" x14ac:dyDescent="0.2">
      <c r="A2" s="10" t="s">
        <v>1302</v>
      </c>
      <c r="B2" s="87" t="s">
        <v>1301</v>
      </c>
      <c r="C2" s="87"/>
      <c r="D2" s="87"/>
      <c r="E2" s="51"/>
    </row>
    <row r="3" spans="1:5" x14ac:dyDescent="0.2">
      <c r="B3" s="87"/>
      <c r="C3" s="87"/>
      <c r="D3" s="87"/>
    </row>
    <row r="4" spans="1:5" ht="14.25" x14ac:dyDescent="0.2">
      <c r="A4" s="79" t="s">
        <v>1300</v>
      </c>
      <c r="B4" s="79"/>
    </row>
    <row r="5" spans="1:5" ht="14.25" x14ac:dyDescent="0.2">
      <c r="A5" s="60" t="s">
        <v>1299</v>
      </c>
    </row>
    <row r="6" spans="1:5" x14ac:dyDescent="0.2">
      <c r="A6" s="10" t="s">
        <v>1298</v>
      </c>
    </row>
    <row r="7" spans="1:5" ht="15.75" x14ac:dyDescent="0.2">
      <c r="A7" s="47" t="s">
        <v>1297</v>
      </c>
      <c r="B7" s="47" t="s">
        <v>1296</v>
      </c>
      <c r="C7" s="47" t="s">
        <v>1295</v>
      </c>
      <c r="D7" s="47" t="s">
        <v>716</v>
      </c>
    </row>
    <row r="8" spans="1:5" ht="15" x14ac:dyDescent="0.2">
      <c r="A8" s="40" t="s">
        <v>1294</v>
      </c>
      <c r="B8" s="40" t="s">
        <v>1185</v>
      </c>
      <c r="C8" s="40" t="s">
        <v>1185</v>
      </c>
      <c r="D8" s="40"/>
    </row>
    <row r="9" spans="1:5" ht="15" x14ac:dyDescent="0.2">
      <c r="A9" s="40" t="s">
        <v>1293</v>
      </c>
      <c r="B9" s="40" t="s">
        <v>1185</v>
      </c>
      <c r="C9" s="40" t="s">
        <v>1185</v>
      </c>
      <c r="D9" s="40"/>
    </row>
    <row r="10" spans="1:5" ht="15" x14ac:dyDescent="0.2">
      <c r="A10" s="40" t="s">
        <v>1292</v>
      </c>
      <c r="B10" s="40" t="s">
        <v>1185</v>
      </c>
      <c r="C10" s="40" t="s">
        <v>1185</v>
      </c>
      <c r="D10" s="40"/>
    </row>
    <row r="11" spans="1:5" ht="30" x14ac:dyDescent="0.2">
      <c r="A11" s="40" t="s">
        <v>1291</v>
      </c>
      <c r="B11" s="40" t="s">
        <v>1185</v>
      </c>
      <c r="C11" s="40" t="s">
        <v>1185</v>
      </c>
      <c r="D11" s="40"/>
    </row>
    <row r="12" spans="1:5" ht="15" x14ac:dyDescent="0.2">
      <c r="A12" s="40" t="s">
        <v>1290</v>
      </c>
      <c r="B12" s="40" t="s">
        <v>1185</v>
      </c>
      <c r="C12" s="40" t="s">
        <v>1185</v>
      </c>
      <c r="D12" s="40"/>
    </row>
    <row r="14" spans="1:5" ht="18" x14ac:dyDescent="0.25">
      <c r="A14" s="59" t="s">
        <v>1289</v>
      </c>
    </row>
    <row r="15" spans="1:5" x14ac:dyDescent="0.2">
      <c r="A15" s="58" t="s">
        <v>1288</v>
      </c>
    </row>
    <row r="16" spans="1:5" ht="15.75" x14ac:dyDescent="0.2">
      <c r="A16" s="47" t="s">
        <v>1285</v>
      </c>
      <c r="B16" s="47" t="s">
        <v>1284</v>
      </c>
      <c r="C16" s="47" t="s">
        <v>1193</v>
      </c>
      <c r="D16" s="47" t="s">
        <v>1283</v>
      </c>
    </row>
    <row r="17" spans="1:4" ht="15" x14ac:dyDescent="0.2">
      <c r="A17" s="41" t="s">
        <v>1146</v>
      </c>
      <c r="B17" s="40"/>
      <c r="C17" s="40"/>
      <c r="D17" s="40" t="s">
        <v>1280</v>
      </c>
    </row>
    <row r="18" spans="1:4" ht="15" x14ac:dyDescent="0.2">
      <c r="A18" s="41" t="s">
        <v>1145</v>
      </c>
      <c r="B18" s="40"/>
      <c r="C18" s="40"/>
      <c r="D18" s="40" t="s">
        <v>1280</v>
      </c>
    </row>
    <row r="19" spans="1:4" ht="15" x14ac:dyDescent="0.2">
      <c r="A19" s="41" t="s">
        <v>1287</v>
      </c>
      <c r="B19" s="40"/>
      <c r="C19" s="40"/>
      <c r="D19" s="40" t="s">
        <v>1280</v>
      </c>
    </row>
    <row r="20" spans="1:4" ht="15" x14ac:dyDescent="0.2">
      <c r="A20" s="41" t="s">
        <v>1144</v>
      </c>
      <c r="B20" s="40"/>
      <c r="C20" s="40"/>
      <c r="D20" s="40" t="s">
        <v>1280</v>
      </c>
    </row>
    <row r="22" spans="1:4" x14ac:dyDescent="0.2">
      <c r="A22" s="58" t="s">
        <v>1286</v>
      </c>
    </row>
    <row r="23" spans="1:4" ht="15.75" x14ac:dyDescent="0.2">
      <c r="A23" s="47" t="s">
        <v>1285</v>
      </c>
      <c r="B23" s="47" t="s">
        <v>1284</v>
      </c>
      <c r="C23" s="47" t="s">
        <v>1193</v>
      </c>
      <c r="D23" s="47" t="s">
        <v>1283</v>
      </c>
    </row>
    <row r="24" spans="1:4" ht="15" x14ac:dyDescent="0.2">
      <c r="A24" s="41" t="s">
        <v>1138</v>
      </c>
      <c r="B24" s="40"/>
      <c r="C24" s="40"/>
      <c r="D24" s="40" t="s">
        <v>1280</v>
      </c>
    </row>
    <row r="25" spans="1:4" ht="15" x14ac:dyDescent="0.2">
      <c r="A25" s="41" t="s">
        <v>1282</v>
      </c>
      <c r="B25" s="40"/>
      <c r="C25" s="40"/>
      <c r="D25" s="40" t="s">
        <v>1280</v>
      </c>
    </row>
    <row r="26" spans="1:4" ht="15" x14ac:dyDescent="0.2">
      <c r="A26" s="41" t="s">
        <v>1136</v>
      </c>
      <c r="B26" s="40"/>
      <c r="C26" s="40"/>
      <c r="D26" s="40" t="s">
        <v>1280</v>
      </c>
    </row>
    <row r="27" spans="1:4" ht="15" x14ac:dyDescent="0.2">
      <c r="A27" s="41" t="s">
        <v>1281</v>
      </c>
      <c r="B27" s="40"/>
      <c r="C27" s="40"/>
      <c r="D27" s="40" t="s">
        <v>1280</v>
      </c>
    </row>
    <row r="29" spans="1:4" ht="15" x14ac:dyDescent="0.2">
      <c r="A29" s="57" t="s">
        <v>1279</v>
      </c>
    </row>
    <row r="30" spans="1:4" ht="14.25" x14ac:dyDescent="0.2">
      <c r="A30" s="56" t="s">
        <v>1278</v>
      </c>
    </row>
    <row r="31" spans="1:4" x14ac:dyDescent="0.2">
      <c r="A31" s="10" t="s">
        <v>1277</v>
      </c>
    </row>
    <row r="32" spans="1:4" ht="15.75" x14ac:dyDescent="0.2">
      <c r="A32" s="47" t="s">
        <v>1180</v>
      </c>
      <c r="B32" s="47" t="s">
        <v>7</v>
      </c>
      <c r="C32" s="47" t="s">
        <v>1276</v>
      </c>
    </row>
    <row r="33" spans="1:4" ht="15" x14ac:dyDescent="0.2">
      <c r="A33" s="40" t="s">
        <v>1275</v>
      </c>
      <c r="B33" s="40"/>
      <c r="C33" s="40"/>
    </row>
    <row r="34" spans="1:4" ht="15" x14ac:dyDescent="0.2">
      <c r="A34" s="41" t="s">
        <v>1274</v>
      </c>
      <c r="B34" s="40" t="s">
        <v>1266</v>
      </c>
      <c r="C34" s="40"/>
    </row>
    <row r="35" spans="1:4" ht="15" x14ac:dyDescent="0.2">
      <c r="A35" s="41" t="s">
        <v>1273</v>
      </c>
      <c r="B35" s="40" t="s">
        <v>1266</v>
      </c>
      <c r="C35" s="40"/>
    </row>
    <row r="36" spans="1:4" ht="15" x14ac:dyDescent="0.2">
      <c r="A36" s="40" t="s">
        <v>1272</v>
      </c>
      <c r="B36" s="40"/>
      <c r="C36" s="40"/>
    </row>
    <row r="37" spans="1:4" ht="15" x14ac:dyDescent="0.2">
      <c r="A37" s="41" t="s">
        <v>1271</v>
      </c>
      <c r="B37" s="40" t="s">
        <v>1266</v>
      </c>
      <c r="C37" s="40"/>
    </row>
    <row r="38" spans="1:4" ht="15" x14ac:dyDescent="0.2">
      <c r="A38" s="41" t="s">
        <v>1270</v>
      </c>
      <c r="B38" s="40" t="s">
        <v>1266</v>
      </c>
      <c r="C38" s="40"/>
    </row>
    <row r="39" spans="1:4" ht="15" x14ac:dyDescent="0.2">
      <c r="A39" s="40" t="s">
        <v>1269</v>
      </c>
      <c r="B39" s="40"/>
      <c r="C39" s="40"/>
    </row>
    <row r="40" spans="1:4" ht="15" x14ac:dyDescent="0.2">
      <c r="A40" s="41" t="s">
        <v>1268</v>
      </c>
      <c r="B40" s="40" t="s">
        <v>1266</v>
      </c>
      <c r="C40" s="40"/>
    </row>
    <row r="41" spans="1:4" ht="15" x14ac:dyDescent="0.2">
      <c r="A41" s="41" t="s">
        <v>1267</v>
      </c>
      <c r="B41" s="40" t="s">
        <v>1266</v>
      </c>
      <c r="C41" s="40"/>
    </row>
    <row r="43" spans="1:4" ht="14.25" x14ac:dyDescent="0.2">
      <c r="A43" s="56" t="s">
        <v>1265</v>
      </c>
    </row>
    <row r="44" spans="1:4" x14ac:dyDescent="0.2">
      <c r="A44" s="25" t="s">
        <v>1264</v>
      </c>
    </row>
    <row r="45" spans="1:4" x14ac:dyDescent="0.2">
      <c r="A45" s="25" t="s">
        <v>1263</v>
      </c>
    </row>
    <row r="46" spans="1:4" ht="15.75" x14ac:dyDescent="0.2">
      <c r="A46" s="47" t="s">
        <v>1262</v>
      </c>
      <c r="B46" s="47" t="s">
        <v>1261</v>
      </c>
      <c r="C46" s="47" t="s">
        <v>1260</v>
      </c>
      <c r="D46" s="47" t="s">
        <v>1259</v>
      </c>
    </row>
    <row r="47" spans="1:4" ht="15" x14ac:dyDescent="0.2">
      <c r="A47" s="40" t="s">
        <v>1258</v>
      </c>
      <c r="B47" s="40" t="s">
        <v>1240</v>
      </c>
      <c r="C47" s="40" t="s">
        <v>1251</v>
      </c>
      <c r="D47" s="40"/>
    </row>
    <row r="48" spans="1:4" ht="15" x14ac:dyDescent="0.2">
      <c r="A48" s="41" t="s">
        <v>1257</v>
      </c>
      <c r="B48" s="40"/>
      <c r="C48" s="40"/>
      <c r="D48" s="40"/>
    </row>
    <row r="49" spans="1:4" ht="15" x14ac:dyDescent="0.2">
      <c r="A49" s="40" t="s">
        <v>1256</v>
      </c>
      <c r="B49" s="40" t="s">
        <v>1240</v>
      </c>
      <c r="C49" s="40" t="s">
        <v>1251</v>
      </c>
      <c r="D49" s="40"/>
    </row>
    <row r="50" spans="1:4" ht="15" x14ac:dyDescent="0.2">
      <c r="A50" s="41" t="s">
        <v>1255</v>
      </c>
      <c r="B50" s="40"/>
      <c r="C50" s="40"/>
      <c r="D50" s="40"/>
    </row>
    <row r="51" spans="1:4" ht="15" x14ac:dyDescent="0.2">
      <c r="A51" s="40" t="s">
        <v>1254</v>
      </c>
      <c r="B51" s="40" t="s">
        <v>1240</v>
      </c>
      <c r="C51" s="40" t="s">
        <v>1251</v>
      </c>
      <c r="D51" s="40"/>
    </row>
    <row r="52" spans="1:4" ht="15" x14ac:dyDescent="0.2">
      <c r="A52" s="41" t="s">
        <v>1253</v>
      </c>
      <c r="B52" s="40"/>
      <c r="C52" s="40"/>
      <c r="D52" s="40"/>
    </row>
    <row r="53" spans="1:4" ht="15" x14ac:dyDescent="0.2">
      <c r="A53" s="40" t="s">
        <v>1252</v>
      </c>
      <c r="B53" s="40" t="s">
        <v>1240</v>
      </c>
      <c r="C53" s="40" t="s">
        <v>1251</v>
      </c>
      <c r="D53" s="40"/>
    </row>
    <row r="54" spans="1:4" ht="15" x14ac:dyDescent="0.2">
      <c r="A54" s="41" t="s">
        <v>1250</v>
      </c>
      <c r="B54" s="40"/>
      <c r="C54" s="40"/>
      <c r="D54" s="40"/>
    </row>
    <row r="56" spans="1:4" ht="14.25" x14ac:dyDescent="0.2">
      <c r="A56" s="24" t="s">
        <v>1249</v>
      </c>
    </row>
    <row r="57" spans="1:4" ht="15.75" x14ac:dyDescent="0.2">
      <c r="A57" s="47" t="s">
        <v>1248</v>
      </c>
      <c r="B57" s="47" t="s">
        <v>617</v>
      </c>
      <c r="C57" s="47" t="s">
        <v>819</v>
      </c>
      <c r="D57" s="47" t="s">
        <v>1247</v>
      </c>
    </row>
    <row r="58" spans="1:4" ht="15" x14ac:dyDescent="0.2">
      <c r="A58" s="53" t="s">
        <v>1129</v>
      </c>
      <c r="B58" s="40" t="s">
        <v>1246</v>
      </c>
      <c r="C58" s="40"/>
      <c r="D58" s="40" t="s">
        <v>1240</v>
      </c>
    </row>
    <row r="59" spans="1:4" ht="15" x14ac:dyDescent="0.2">
      <c r="A59" s="53" t="s">
        <v>1127</v>
      </c>
      <c r="B59" s="40" t="s">
        <v>1245</v>
      </c>
      <c r="C59" s="40"/>
      <c r="D59" s="40" t="s">
        <v>1240</v>
      </c>
    </row>
    <row r="60" spans="1:4" ht="15" x14ac:dyDescent="0.2">
      <c r="A60" s="53" t="s">
        <v>1244</v>
      </c>
      <c r="B60" s="40" t="s">
        <v>1243</v>
      </c>
      <c r="C60" s="40"/>
      <c r="D60" s="40" t="s">
        <v>1240</v>
      </c>
    </row>
    <row r="61" spans="1:4" ht="15" x14ac:dyDescent="0.2">
      <c r="A61" s="53" t="s">
        <v>1242</v>
      </c>
      <c r="B61" s="40" t="s">
        <v>1241</v>
      </c>
      <c r="C61" s="40"/>
      <c r="D61" s="40" t="s">
        <v>1240</v>
      </c>
    </row>
    <row r="63" spans="1:4" ht="14.25" x14ac:dyDescent="0.2">
      <c r="A63" s="52" t="s">
        <v>1239</v>
      </c>
    </row>
    <row r="64" spans="1:4" x14ac:dyDescent="0.2">
      <c r="A64" s="10" t="s">
        <v>1238</v>
      </c>
    </row>
    <row r="65" spans="1:3" ht="15.75" x14ac:dyDescent="0.2">
      <c r="A65" s="47" t="s">
        <v>1237</v>
      </c>
      <c r="B65" s="47" t="s">
        <v>1236</v>
      </c>
      <c r="C65" s="47" t="s">
        <v>1235</v>
      </c>
    </row>
    <row r="66" spans="1:3" ht="15" x14ac:dyDescent="0.2">
      <c r="A66" s="40" t="s">
        <v>1234</v>
      </c>
      <c r="B66" s="40"/>
      <c r="C66" s="40"/>
    </row>
    <row r="67" spans="1:3" ht="15" x14ac:dyDescent="0.2">
      <c r="A67" s="53" t="s">
        <v>1233</v>
      </c>
      <c r="B67" s="40" t="s">
        <v>1221</v>
      </c>
      <c r="C67" s="40"/>
    </row>
    <row r="68" spans="1:3" ht="15" x14ac:dyDescent="0.2">
      <c r="A68" s="53" t="s">
        <v>1232</v>
      </c>
      <c r="B68" s="40" t="s">
        <v>1221</v>
      </c>
      <c r="C68" s="40"/>
    </row>
    <row r="69" spans="1:3" ht="15" x14ac:dyDescent="0.2">
      <c r="A69" s="40" t="s">
        <v>1231</v>
      </c>
      <c r="B69" s="40"/>
      <c r="C69" s="40"/>
    </row>
    <row r="70" spans="1:3" ht="15" x14ac:dyDescent="0.2">
      <c r="A70" s="55" t="s">
        <v>1230</v>
      </c>
      <c r="B70" s="40" t="s">
        <v>1221</v>
      </c>
      <c r="C70" s="40"/>
    </row>
    <row r="71" spans="1:3" ht="15" x14ac:dyDescent="0.2">
      <c r="A71" s="55" t="s">
        <v>1229</v>
      </c>
      <c r="B71" s="40" t="s">
        <v>1221</v>
      </c>
      <c r="C71" s="40"/>
    </row>
    <row r="72" spans="1:3" ht="15" x14ac:dyDescent="0.2">
      <c r="A72" s="40" t="s">
        <v>1228</v>
      </c>
      <c r="B72" s="40"/>
      <c r="C72" s="40"/>
    </row>
    <row r="73" spans="1:3" ht="15" x14ac:dyDescent="0.2">
      <c r="A73" s="53" t="s">
        <v>1227</v>
      </c>
      <c r="B73" s="40" t="s">
        <v>1221</v>
      </c>
      <c r="C73" s="40"/>
    </row>
    <row r="74" spans="1:3" ht="15" x14ac:dyDescent="0.2">
      <c r="A74" s="53" t="s">
        <v>1226</v>
      </c>
      <c r="B74" s="40" t="s">
        <v>1221</v>
      </c>
      <c r="C74" s="40"/>
    </row>
    <row r="75" spans="1:3" ht="15" x14ac:dyDescent="0.2">
      <c r="A75" s="40" t="s">
        <v>1225</v>
      </c>
      <c r="B75" s="40"/>
      <c r="C75" s="40"/>
    </row>
    <row r="76" spans="1:3" ht="15" x14ac:dyDescent="0.2">
      <c r="A76" s="53" t="s">
        <v>1224</v>
      </c>
      <c r="B76" s="40" t="s">
        <v>1221</v>
      </c>
      <c r="C76" s="40"/>
    </row>
    <row r="77" spans="1:3" ht="15" x14ac:dyDescent="0.2">
      <c r="A77" s="53" t="s">
        <v>1223</v>
      </c>
      <c r="B77" s="40" t="s">
        <v>1221</v>
      </c>
      <c r="C77" s="40"/>
    </row>
    <row r="78" spans="1:3" ht="15" x14ac:dyDescent="0.2">
      <c r="A78" s="53" t="s">
        <v>1222</v>
      </c>
      <c r="B78" s="40" t="s">
        <v>1221</v>
      </c>
      <c r="C78" s="40"/>
    </row>
    <row r="80" spans="1:3" ht="15" x14ac:dyDescent="0.2">
      <c r="A80" s="54" t="s">
        <v>1220</v>
      </c>
    </row>
    <row r="81" spans="1:4" x14ac:dyDescent="0.2">
      <c r="A81" s="10" t="s">
        <v>1219</v>
      </c>
    </row>
    <row r="82" spans="1:4" ht="15.75" x14ac:dyDescent="0.2">
      <c r="A82" s="47" t="s">
        <v>1218</v>
      </c>
      <c r="B82" s="47" t="s">
        <v>8</v>
      </c>
      <c r="C82" s="47" t="s">
        <v>1217</v>
      </c>
      <c r="D82" s="47" t="s">
        <v>1216</v>
      </c>
    </row>
    <row r="83" spans="1:4" ht="15" x14ac:dyDescent="0.2">
      <c r="A83" s="40" t="s">
        <v>1215</v>
      </c>
      <c r="B83" s="40"/>
      <c r="C83" s="40"/>
      <c r="D83" s="40"/>
    </row>
    <row r="84" spans="1:4" ht="15" x14ac:dyDescent="0.2">
      <c r="A84" s="41" t="s">
        <v>1214</v>
      </c>
      <c r="B84" s="40"/>
      <c r="C84" s="40"/>
      <c r="D84" s="40" t="s">
        <v>1212</v>
      </c>
    </row>
    <row r="85" spans="1:4" ht="15" x14ac:dyDescent="0.2">
      <c r="A85" s="41" t="s">
        <v>1213</v>
      </c>
      <c r="B85" s="40"/>
      <c r="C85" s="40"/>
      <c r="D85" s="40" t="s">
        <v>1212</v>
      </c>
    </row>
    <row r="86" spans="1:4" ht="15" x14ac:dyDescent="0.2">
      <c r="A86" s="40" t="s">
        <v>1211</v>
      </c>
      <c r="B86" s="40"/>
      <c r="C86" s="40"/>
      <c r="D86" s="40"/>
    </row>
    <row r="87" spans="1:4" ht="15" x14ac:dyDescent="0.2">
      <c r="A87" s="41" t="s">
        <v>1210</v>
      </c>
      <c r="B87" s="40"/>
      <c r="C87" s="40"/>
      <c r="D87" s="40" t="s">
        <v>1207</v>
      </c>
    </row>
    <row r="88" spans="1:4" ht="15" x14ac:dyDescent="0.2">
      <c r="A88" s="41" t="s">
        <v>1209</v>
      </c>
      <c r="B88" s="40"/>
      <c r="C88" s="40"/>
      <c r="D88" s="40" t="s">
        <v>1207</v>
      </c>
    </row>
    <row r="89" spans="1:4" ht="15" x14ac:dyDescent="0.2">
      <c r="A89" s="41" t="s">
        <v>1208</v>
      </c>
      <c r="B89" s="40"/>
      <c r="C89" s="40"/>
      <c r="D89" s="40" t="s">
        <v>1207</v>
      </c>
    </row>
    <row r="90" spans="1:4" ht="15" x14ac:dyDescent="0.2">
      <c r="A90" s="40" t="s">
        <v>1206</v>
      </c>
      <c r="B90" s="40"/>
      <c r="C90" s="40"/>
      <c r="D90" s="40"/>
    </row>
    <row r="91" spans="1:4" ht="15" x14ac:dyDescent="0.2">
      <c r="A91" s="41" t="s">
        <v>1205</v>
      </c>
      <c r="B91" s="40"/>
      <c r="C91" s="40"/>
      <c r="D91" s="40" t="s">
        <v>1204</v>
      </c>
    </row>
    <row r="92" spans="1:4" ht="15" x14ac:dyDescent="0.2">
      <c r="A92" s="41" t="s">
        <v>1203</v>
      </c>
      <c r="B92" s="40"/>
      <c r="C92" s="40"/>
      <c r="D92" s="40" t="s">
        <v>1202</v>
      </c>
    </row>
    <row r="94" spans="1:4" ht="14.25" x14ac:dyDescent="0.2">
      <c r="A94" s="35" t="s">
        <v>1201</v>
      </c>
    </row>
    <row r="95" spans="1:4" ht="14.25" x14ac:dyDescent="0.2">
      <c r="A95" s="52" t="s">
        <v>1200</v>
      </c>
    </row>
    <row r="96" spans="1:4" x14ac:dyDescent="0.2">
      <c r="A96" s="25" t="s">
        <v>1199</v>
      </c>
    </row>
    <row r="97" spans="1:5" x14ac:dyDescent="0.2">
      <c r="A97" s="25" t="s">
        <v>1198</v>
      </c>
    </row>
    <row r="98" spans="1:5" ht="15.75" x14ac:dyDescent="0.2">
      <c r="A98" s="47" t="s">
        <v>1197</v>
      </c>
      <c r="B98" s="47" t="s">
        <v>1196</v>
      </c>
      <c r="C98" s="47" t="s">
        <v>1195</v>
      </c>
      <c r="D98" s="47" t="s">
        <v>1194</v>
      </c>
      <c r="E98" s="47" t="s">
        <v>1193</v>
      </c>
    </row>
    <row r="99" spans="1:5" ht="15" x14ac:dyDescent="0.2">
      <c r="A99" s="40" t="s">
        <v>1192</v>
      </c>
      <c r="B99" s="40" t="s">
        <v>1185</v>
      </c>
      <c r="C99" s="40" t="s">
        <v>1184</v>
      </c>
      <c r="D99" s="40" t="s">
        <v>1184</v>
      </c>
      <c r="E99" s="40"/>
    </row>
    <row r="100" spans="1:5" ht="15" x14ac:dyDescent="0.2">
      <c r="A100" s="40" t="s">
        <v>1191</v>
      </c>
      <c r="B100" s="40"/>
      <c r="C100" s="40"/>
      <c r="D100" s="40"/>
      <c r="E100" s="40"/>
    </row>
    <row r="101" spans="1:5" ht="15" x14ac:dyDescent="0.2">
      <c r="A101" s="40" t="s">
        <v>1190</v>
      </c>
      <c r="B101" s="40" t="s">
        <v>1185</v>
      </c>
      <c r="C101" s="40" t="s">
        <v>1184</v>
      </c>
      <c r="D101" s="40" t="s">
        <v>1184</v>
      </c>
      <c r="E101" s="40"/>
    </row>
    <row r="102" spans="1:5" ht="15" x14ac:dyDescent="0.2">
      <c r="A102" s="40" t="s">
        <v>1189</v>
      </c>
      <c r="B102" s="40"/>
      <c r="C102" s="40"/>
      <c r="D102" s="40"/>
      <c r="E102" s="40"/>
    </row>
    <row r="103" spans="1:5" ht="15" x14ac:dyDescent="0.2">
      <c r="A103" s="40" t="s">
        <v>1188</v>
      </c>
      <c r="B103" s="40" t="s">
        <v>1185</v>
      </c>
      <c r="C103" s="40" t="s">
        <v>1184</v>
      </c>
      <c r="D103" s="40" t="s">
        <v>1184</v>
      </c>
      <c r="E103" s="40"/>
    </row>
    <row r="104" spans="1:5" ht="15" x14ac:dyDescent="0.2">
      <c r="A104" s="40" t="s">
        <v>1187</v>
      </c>
      <c r="B104" s="40"/>
      <c r="C104" s="40"/>
      <c r="D104" s="40"/>
      <c r="E104" s="40"/>
    </row>
    <row r="105" spans="1:5" ht="15" x14ac:dyDescent="0.2">
      <c r="A105" s="40" t="s">
        <v>1186</v>
      </c>
      <c r="B105" s="40" t="s">
        <v>1185</v>
      </c>
      <c r="C105" s="40" t="s">
        <v>1184</v>
      </c>
      <c r="D105" s="40" t="s">
        <v>1184</v>
      </c>
      <c r="E105" s="40"/>
    </row>
    <row r="106" spans="1:5" ht="15" x14ac:dyDescent="0.2">
      <c r="A106" s="40" t="s">
        <v>1183</v>
      </c>
      <c r="B106" s="40"/>
      <c r="C106" s="40"/>
      <c r="D106" s="40"/>
      <c r="E106" s="40"/>
    </row>
    <row r="108" spans="1:5" ht="14.25" x14ac:dyDescent="0.2">
      <c r="A108" s="52" t="s">
        <v>1182</v>
      </c>
    </row>
    <row r="109" spans="1:5" ht="15.75" x14ac:dyDescent="0.2">
      <c r="A109" s="47" t="s">
        <v>1181</v>
      </c>
      <c r="B109" s="47" t="s">
        <v>1180</v>
      </c>
      <c r="C109" s="47" t="s">
        <v>1179</v>
      </c>
    </row>
    <row r="110" spans="1:5" ht="15" x14ac:dyDescent="0.2">
      <c r="A110" s="40" t="s">
        <v>1178</v>
      </c>
      <c r="B110" s="40"/>
      <c r="C110" s="40"/>
    </row>
    <row r="111" spans="1:5" ht="30" x14ac:dyDescent="0.2">
      <c r="A111" s="40" t="s">
        <v>1177</v>
      </c>
      <c r="B111" s="40" t="s">
        <v>1172</v>
      </c>
      <c r="C111" s="40" t="s">
        <v>1171</v>
      </c>
    </row>
    <row r="112" spans="1:5" ht="15" x14ac:dyDescent="0.2">
      <c r="A112" s="40" t="s">
        <v>1176</v>
      </c>
      <c r="B112" s="40"/>
      <c r="C112" s="40"/>
    </row>
    <row r="113" spans="1:4" ht="30" x14ac:dyDescent="0.2">
      <c r="A113" s="40" t="s">
        <v>1175</v>
      </c>
      <c r="B113" s="40" t="s">
        <v>1172</v>
      </c>
      <c r="C113" s="40" t="s">
        <v>1171</v>
      </c>
    </row>
    <row r="114" spans="1:4" ht="15" x14ac:dyDescent="0.2">
      <c r="A114" s="40" t="s">
        <v>1174</v>
      </c>
      <c r="B114" s="40"/>
      <c r="C114" s="40"/>
    </row>
    <row r="115" spans="1:4" ht="30" x14ac:dyDescent="0.2">
      <c r="A115" s="40" t="s">
        <v>1173</v>
      </c>
      <c r="B115" s="40" t="s">
        <v>1172</v>
      </c>
      <c r="C115" s="40" t="s">
        <v>1171</v>
      </c>
    </row>
    <row r="117" spans="1:4" ht="14.25" x14ac:dyDescent="0.2">
      <c r="A117" s="52" t="s">
        <v>1170</v>
      </c>
    </row>
    <row r="118" spans="1:4" ht="15.75" x14ac:dyDescent="0.2">
      <c r="A118" s="47" t="s">
        <v>1169</v>
      </c>
      <c r="B118" s="47" t="s">
        <v>7</v>
      </c>
      <c r="C118" s="47" t="s">
        <v>1168</v>
      </c>
      <c r="D118" s="47" t="s">
        <v>716</v>
      </c>
    </row>
    <row r="119" spans="1:4" ht="15" x14ac:dyDescent="0.2">
      <c r="A119" s="40" t="s">
        <v>1167</v>
      </c>
      <c r="B119" s="40" t="s">
        <v>1160</v>
      </c>
      <c r="C119" s="40"/>
      <c r="D119" s="40"/>
    </row>
    <row r="120" spans="1:4" ht="15" x14ac:dyDescent="0.2">
      <c r="A120" s="40" t="s">
        <v>1166</v>
      </c>
      <c r="B120" s="40"/>
      <c r="C120" s="40"/>
      <c r="D120" s="40"/>
    </row>
    <row r="121" spans="1:4" ht="15" x14ac:dyDescent="0.2">
      <c r="A121" s="40" t="s">
        <v>1165</v>
      </c>
      <c r="B121" s="40" t="s">
        <v>1160</v>
      </c>
      <c r="C121" s="40"/>
      <c r="D121" s="40"/>
    </row>
    <row r="122" spans="1:4" ht="15" x14ac:dyDescent="0.2">
      <c r="A122" s="40" t="s">
        <v>1164</v>
      </c>
      <c r="B122" s="40"/>
      <c r="C122" s="40"/>
      <c r="D122" s="40"/>
    </row>
    <row r="123" spans="1:4" ht="15" x14ac:dyDescent="0.2">
      <c r="A123" s="40" t="s">
        <v>1163</v>
      </c>
      <c r="B123" s="40" t="s">
        <v>1160</v>
      </c>
      <c r="C123" s="40"/>
      <c r="D123" s="40"/>
    </row>
    <row r="124" spans="1:4" ht="15" x14ac:dyDescent="0.2">
      <c r="A124" s="40" t="s">
        <v>1162</v>
      </c>
      <c r="B124" s="40"/>
      <c r="C124" s="40"/>
      <c r="D124" s="40"/>
    </row>
    <row r="125" spans="1:4" ht="15" x14ac:dyDescent="0.2">
      <c r="A125" s="40" t="s">
        <v>1161</v>
      </c>
      <c r="B125" s="40" t="s">
        <v>1160</v>
      </c>
      <c r="C125" s="40"/>
      <c r="D125" s="40"/>
    </row>
    <row r="126" spans="1:4" ht="15" x14ac:dyDescent="0.2">
      <c r="A126" s="40" t="s">
        <v>1159</v>
      </c>
      <c r="B126" s="40"/>
      <c r="C126" s="40"/>
      <c r="D126" s="40"/>
    </row>
    <row r="128" spans="1:4" x14ac:dyDescent="0.2">
      <c r="A128" s="27" t="s">
        <v>1158</v>
      </c>
    </row>
    <row r="129" spans="1:4" x14ac:dyDescent="0.2">
      <c r="A129" s="10" t="s">
        <v>1157</v>
      </c>
    </row>
    <row r="130" spans="1:4" ht="15.75" x14ac:dyDescent="0.2">
      <c r="A130" s="47" t="s">
        <v>1156</v>
      </c>
      <c r="B130" s="47" t="s">
        <v>7</v>
      </c>
      <c r="C130" s="47" t="s">
        <v>699</v>
      </c>
    </row>
    <row r="131" spans="1:4" ht="15" x14ac:dyDescent="0.2">
      <c r="A131" s="41" t="s">
        <v>1155</v>
      </c>
      <c r="B131" s="40" t="s">
        <v>1149</v>
      </c>
      <c r="C131" s="40"/>
    </row>
    <row r="132" spans="1:4" ht="15" x14ac:dyDescent="0.2">
      <c r="A132" s="41" t="s">
        <v>1154</v>
      </c>
      <c r="B132" s="40" t="s">
        <v>1149</v>
      </c>
      <c r="C132" s="40"/>
    </row>
    <row r="133" spans="1:4" ht="15" x14ac:dyDescent="0.2">
      <c r="A133" s="41" t="s">
        <v>1153</v>
      </c>
      <c r="B133" s="40" t="s">
        <v>1149</v>
      </c>
      <c r="C133" s="40"/>
    </row>
    <row r="134" spans="1:4" ht="15" x14ac:dyDescent="0.2">
      <c r="A134" s="41" t="s">
        <v>1152</v>
      </c>
      <c r="B134" s="40" t="s">
        <v>1149</v>
      </c>
      <c r="C134" s="40"/>
    </row>
    <row r="135" spans="1:4" ht="15" x14ac:dyDescent="0.2">
      <c r="A135" s="41" t="s">
        <v>1151</v>
      </c>
      <c r="B135" s="40" t="s">
        <v>1149</v>
      </c>
      <c r="C135" s="40"/>
    </row>
    <row r="136" spans="1:4" ht="15" x14ac:dyDescent="0.2">
      <c r="A136" s="41" t="s">
        <v>1150</v>
      </c>
      <c r="B136" s="40" t="s">
        <v>1149</v>
      </c>
      <c r="C136" s="40"/>
    </row>
    <row r="138" spans="1:4" ht="15" x14ac:dyDescent="0.2">
      <c r="A138" s="54" t="s">
        <v>1148</v>
      </c>
    </row>
    <row r="139" spans="1:4" x14ac:dyDescent="0.2">
      <c r="A139" s="10" t="s">
        <v>1147</v>
      </c>
    </row>
    <row r="140" spans="1:4" ht="15.75" x14ac:dyDescent="0.2">
      <c r="A140" s="47" t="s">
        <v>1142</v>
      </c>
      <c r="B140" s="47" t="s">
        <v>1141</v>
      </c>
      <c r="C140" s="47" t="s">
        <v>1140</v>
      </c>
      <c r="D140" s="47" t="s">
        <v>1139</v>
      </c>
    </row>
    <row r="141" spans="1:4" ht="15" x14ac:dyDescent="0.2">
      <c r="A141" s="53" t="s">
        <v>1146</v>
      </c>
      <c r="B141" s="40"/>
      <c r="C141" s="40"/>
      <c r="D141" s="40"/>
    </row>
    <row r="142" spans="1:4" ht="15" x14ac:dyDescent="0.2">
      <c r="A142" s="53" t="s">
        <v>1145</v>
      </c>
      <c r="B142" s="40"/>
      <c r="C142" s="40"/>
      <c r="D142" s="40"/>
    </row>
    <row r="143" spans="1:4" ht="15" x14ac:dyDescent="0.2">
      <c r="A143" s="53" t="s">
        <v>1144</v>
      </c>
      <c r="B143" s="40"/>
      <c r="C143" s="40"/>
      <c r="D143" s="40"/>
    </row>
    <row r="144" spans="1:4" ht="15" x14ac:dyDescent="0.2">
      <c r="A144" s="53" t="s">
        <v>291</v>
      </c>
      <c r="B144" s="40"/>
      <c r="C144" s="40"/>
      <c r="D144" s="40"/>
    </row>
    <row r="146" spans="1:5" x14ac:dyDescent="0.2">
      <c r="A146" s="10" t="s">
        <v>1143</v>
      </c>
    </row>
    <row r="147" spans="1:5" ht="15.75" x14ac:dyDescent="0.2">
      <c r="A147" s="47" t="s">
        <v>1142</v>
      </c>
      <c r="B147" s="47" t="s">
        <v>1141</v>
      </c>
      <c r="C147" s="47" t="s">
        <v>1140</v>
      </c>
      <c r="D147" s="47" t="s">
        <v>1139</v>
      </c>
    </row>
    <row r="148" spans="1:5" ht="15" x14ac:dyDescent="0.2">
      <c r="A148" s="53" t="s">
        <v>1138</v>
      </c>
      <c r="B148" s="40"/>
      <c r="C148" s="40"/>
      <c r="D148" s="40"/>
    </row>
    <row r="149" spans="1:5" ht="15" x14ac:dyDescent="0.2">
      <c r="A149" s="53" t="s">
        <v>1137</v>
      </c>
      <c r="B149" s="40"/>
      <c r="C149" s="40"/>
      <c r="D149" s="40"/>
    </row>
    <row r="150" spans="1:5" ht="15" x14ac:dyDescent="0.2">
      <c r="A150" s="53" t="s">
        <v>1136</v>
      </c>
      <c r="B150" s="40"/>
      <c r="C150" s="40"/>
      <c r="D150" s="40"/>
    </row>
    <row r="151" spans="1:5" ht="15" x14ac:dyDescent="0.2">
      <c r="A151" s="53" t="s">
        <v>1135</v>
      </c>
      <c r="B151" s="40"/>
      <c r="C151" s="40"/>
      <c r="D151" s="40"/>
    </row>
    <row r="153" spans="1:5" ht="14.25" x14ac:dyDescent="0.2">
      <c r="A153" s="35" t="s">
        <v>1134</v>
      </c>
    </row>
    <row r="154" spans="1:5" ht="14.25" x14ac:dyDescent="0.2">
      <c r="A154" s="52" t="s">
        <v>1133</v>
      </c>
    </row>
    <row r="155" spans="1:5" x14ac:dyDescent="0.2">
      <c r="A155" s="10" t="s">
        <v>1132</v>
      </c>
    </row>
    <row r="156" spans="1:5" ht="15.75" x14ac:dyDescent="0.2">
      <c r="A156" s="47" t="s">
        <v>1131</v>
      </c>
      <c r="B156" s="47" t="s">
        <v>6</v>
      </c>
      <c r="C156" s="47" t="s">
        <v>617</v>
      </c>
      <c r="D156" s="47" t="s">
        <v>819</v>
      </c>
      <c r="E156" s="47" t="s">
        <v>7</v>
      </c>
    </row>
    <row r="157" spans="1:5" ht="15" x14ac:dyDescent="0.2">
      <c r="A157" s="40" t="s">
        <v>1130</v>
      </c>
      <c r="B157" s="40"/>
      <c r="C157" s="40"/>
      <c r="D157" s="40"/>
      <c r="E157" s="40"/>
    </row>
    <row r="158" spans="1:5" ht="15" x14ac:dyDescent="0.2">
      <c r="A158" s="41" t="s">
        <v>1129</v>
      </c>
      <c r="B158" s="40" t="s">
        <v>1128</v>
      </c>
      <c r="C158" s="40" t="s">
        <v>1125</v>
      </c>
      <c r="D158" s="40" t="s">
        <v>785</v>
      </c>
      <c r="E158" s="40" t="s">
        <v>1110</v>
      </c>
    </row>
    <row r="159" spans="1:5" ht="15" x14ac:dyDescent="0.2">
      <c r="A159" s="41" t="s">
        <v>1127</v>
      </c>
      <c r="B159" s="40" t="s">
        <v>1126</v>
      </c>
      <c r="C159" s="40" t="s">
        <v>1125</v>
      </c>
      <c r="D159" s="40" t="s">
        <v>761</v>
      </c>
      <c r="E159" s="40" t="s">
        <v>1110</v>
      </c>
    </row>
    <row r="160" spans="1:5" ht="15" x14ac:dyDescent="0.2">
      <c r="A160" s="40" t="s">
        <v>1124</v>
      </c>
      <c r="B160" s="40"/>
      <c r="C160" s="40"/>
      <c r="D160" s="40"/>
      <c r="E160" s="40"/>
    </row>
    <row r="161" spans="1:5" ht="15" x14ac:dyDescent="0.2">
      <c r="A161" s="41" t="s">
        <v>1123</v>
      </c>
      <c r="B161" s="40" t="s">
        <v>1122</v>
      </c>
      <c r="C161" s="40" t="s">
        <v>463</v>
      </c>
      <c r="D161" s="40" t="s">
        <v>785</v>
      </c>
      <c r="E161" s="40" t="s">
        <v>1110</v>
      </c>
    </row>
    <row r="162" spans="1:5" ht="15.95" customHeight="1" x14ac:dyDescent="0.2">
      <c r="A162" s="41" t="s">
        <v>1121</v>
      </c>
      <c r="B162" s="40" t="s">
        <v>1120</v>
      </c>
      <c r="C162" s="40" t="s">
        <v>1119</v>
      </c>
      <c r="D162" s="40" t="s">
        <v>761</v>
      </c>
      <c r="E162" s="40" t="s">
        <v>1110</v>
      </c>
    </row>
    <row r="163" spans="1:5" ht="15" x14ac:dyDescent="0.2">
      <c r="A163" s="40" t="s">
        <v>1118</v>
      </c>
      <c r="B163" s="40"/>
      <c r="C163" s="40"/>
      <c r="D163" s="40"/>
      <c r="E163" s="40"/>
    </row>
    <row r="164" spans="1:5" ht="15" x14ac:dyDescent="0.2">
      <c r="A164" s="41" t="s">
        <v>1117</v>
      </c>
      <c r="B164" s="40" t="s">
        <v>1116</v>
      </c>
      <c r="C164" s="40" t="s">
        <v>1115</v>
      </c>
      <c r="D164" s="40" t="s">
        <v>1114</v>
      </c>
      <c r="E164" s="40" t="s">
        <v>1110</v>
      </c>
    </row>
    <row r="165" spans="1:5" ht="15.95" customHeight="1" x14ac:dyDescent="0.2">
      <c r="A165" s="41" t="s">
        <v>1113</v>
      </c>
      <c r="B165" s="40" t="s">
        <v>1112</v>
      </c>
      <c r="C165" s="40" t="s">
        <v>1111</v>
      </c>
      <c r="D165" s="40" t="s">
        <v>761</v>
      </c>
      <c r="E165" s="40" t="s">
        <v>1110</v>
      </c>
    </row>
    <row r="167" spans="1:5" ht="14.25" x14ac:dyDescent="0.2">
      <c r="A167" s="52" t="s">
        <v>1109</v>
      </c>
    </row>
    <row r="168" spans="1:5" x14ac:dyDescent="0.2">
      <c r="A168" s="10" t="s">
        <v>1108</v>
      </c>
    </row>
    <row r="169" spans="1:5" ht="15.75" x14ac:dyDescent="0.2">
      <c r="A169" s="47" t="s">
        <v>1107</v>
      </c>
      <c r="B169" s="47" t="s">
        <v>280</v>
      </c>
      <c r="C169" s="47" t="s">
        <v>1106</v>
      </c>
      <c r="D169" s="47" t="s">
        <v>1105</v>
      </c>
    </row>
    <row r="170" spans="1:5" ht="15" x14ac:dyDescent="0.2">
      <c r="A170" s="53" t="s">
        <v>1104</v>
      </c>
      <c r="B170" s="40" t="s">
        <v>1103</v>
      </c>
      <c r="C170" s="40" t="s">
        <v>1102</v>
      </c>
      <c r="D170" s="40" t="s">
        <v>1101</v>
      </c>
    </row>
    <row r="171" spans="1:5" ht="15" x14ac:dyDescent="0.2">
      <c r="A171" s="53" t="s">
        <v>1100</v>
      </c>
      <c r="B171" s="40" t="s">
        <v>1099</v>
      </c>
      <c r="C171" s="40" t="s">
        <v>1098</v>
      </c>
      <c r="D171" s="40" t="s">
        <v>1097</v>
      </c>
    </row>
    <row r="172" spans="1:5" ht="15" x14ac:dyDescent="0.2">
      <c r="A172" s="53" t="s">
        <v>1096</v>
      </c>
      <c r="B172" s="40" t="s">
        <v>1095</v>
      </c>
      <c r="C172" s="40" t="s">
        <v>1094</v>
      </c>
      <c r="D172" s="40" t="s">
        <v>1093</v>
      </c>
    </row>
    <row r="173" spans="1:5" ht="15" x14ac:dyDescent="0.2">
      <c r="A173" s="53" t="s">
        <v>1092</v>
      </c>
      <c r="B173" s="40" t="s">
        <v>1091</v>
      </c>
      <c r="C173" s="40" t="s">
        <v>566</v>
      </c>
      <c r="D173" s="40" t="s">
        <v>1090</v>
      </c>
    </row>
    <row r="175" spans="1:5" x14ac:dyDescent="0.2">
      <c r="A175" s="10" t="s">
        <v>1089</v>
      </c>
    </row>
    <row r="176" spans="1:5" x14ac:dyDescent="0.2">
      <c r="A176" s="25" t="s">
        <v>1088</v>
      </c>
      <c r="B176" s="10" t="s">
        <v>1077</v>
      </c>
    </row>
    <row r="178" spans="1:2" x14ac:dyDescent="0.2">
      <c r="A178" s="10" t="s">
        <v>1087</v>
      </c>
    </row>
    <row r="179" spans="1:2" x14ac:dyDescent="0.2">
      <c r="A179" s="25" t="s">
        <v>1086</v>
      </c>
      <c r="B179" s="10" t="s">
        <v>1077</v>
      </c>
    </row>
    <row r="180" spans="1:2" x14ac:dyDescent="0.2">
      <c r="A180" s="25" t="s">
        <v>1085</v>
      </c>
      <c r="B180" s="10" t="s">
        <v>1077</v>
      </c>
    </row>
    <row r="181" spans="1:2" x14ac:dyDescent="0.2">
      <c r="A181" s="25" t="s">
        <v>1084</v>
      </c>
      <c r="B181" s="10" t="s">
        <v>1077</v>
      </c>
    </row>
    <row r="182" spans="1:2" x14ac:dyDescent="0.2">
      <c r="A182" s="25" t="s">
        <v>1083</v>
      </c>
      <c r="B182" s="10" t="s">
        <v>1077</v>
      </c>
    </row>
    <row r="184" spans="1:2" x14ac:dyDescent="0.2">
      <c r="A184" s="10" t="s">
        <v>1082</v>
      </c>
    </row>
    <row r="185" spans="1:2" x14ac:dyDescent="0.2">
      <c r="A185" s="25" t="s">
        <v>1081</v>
      </c>
      <c r="B185" s="10" t="s">
        <v>1077</v>
      </c>
    </row>
    <row r="186" spans="1:2" x14ac:dyDescent="0.2">
      <c r="A186" s="25" t="s">
        <v>1080</v>
      </c>
      <c r="B186" s="10" t="s">
        <v>1077</v>
      </c>
    </row>
    <row r="187" spans="1:2" x14ac:dyDescent="0.2">
      <c r="A187" s="25" t="s">
        <v>1079</v>
      </c>
      <c r="B187" s="10" t="s">
        <v>1077</v>
      </c>
    </row>
    <row r="188" spans="1:2" x14ac:dyDescent="0.2">
      <c r="A188" s="25" t="s">
        <v>1078</v>
      </c>
      <c r="B188" s="10" t="s">
        <v>1077</v>
      </c>
    </row>
    <row r="190" spans="1:2" x14ac:dyDescent="0.2">
      <c r="A190" s="10" t="s">
        <v>1076</v>
      </c>
    </row>
    <row r="191" spans="1:2" x14ac:dyDescent="0.2">
      <c r="A191" s="25" t="s">
        <v>1075</v>
      </c>
    </row>
    <row r="192" spans="1:2" x14ac:dyDescent="0.2">
      <c r="A192" s="25" t="s">
        <v>1074</v>
      </c>
    </row>
    <row r="193" spans="1:4" x14ac:dyDescent="0.2">
      <c r="A193" s="25" t="s">
        <v>1073</v>
      </c>
    </row>
    <row r="194" spans="1:4" x14ac:dyDescent="0.2">
      <c r="A194" s="25" t="s">
        <v>1072</v>
      </c>
    </row>
    <row r="195" spans="1:4" ht="14.25" x14ac:dyDescent="0.2">
      <c r="A195" s="52" t="s">
        <v>1071</v>
      </c>
    </row>
    <row r="196" spans="1:4" x14ac:dyDescent="0.2">
      <c r="A196" s="27" t="s">
        <v>1070</v>
      </c>
    </row>
    <row r="197" spans="1:4" ht="15.75" x14ac:dyDescent="0.2">
      <c r="A197" s="47" t="s">
        <v>25</v>
      </c>
      <c r="B197" s="47" t="s">
        <v>1069</v>
      </c>
      <c r="C197" s="47" t="s">
        <v>699</v>
      </c>
      <c r="D197" s="47" t="s">
        <v>1068</v>
      </c>
    </row>
    <row r="198" spans="1:4" ht="15" x14ac:dyDescent="0.2">
      <c r="A198" s="40" t="s">
        <v>1067</v>
      </c>
      <c r="B198" s="40"/>
      <c r="C198" s="40"/>
      <c r="D198" s="40"/>
    </row>
    <row r="199" spans="1:4" ht="15" x14ac:dyDescent="0.2">
      <c r="A199" s="41" t="s">
        <v>1066</v>
      </c>
      <c r="B199" s="40"/>
      <c r="C199" s="40"/>
      <c r="D199" s="40"/>
    </row>
    <row r="200" spans="1:4" ht="15" x14ac:dyDescent="0.2">
      <c r="A200" s="41" t="s">
        <v>862</v>
      </c>
      <c r="B200" s="40"/>
      <c r="C200" s="40"/>
      <c r="D200" s="40"/>
    </row>
    <row r="201" spans="1:4" ht="15" x14ac:dyDescent="0.2">
      <c r="A201" s="40" t="s">
        <v>1065</v>
      </c>
      <c r="B201" s="40"/>
      <c r="C201" s="40"/>
      <c r="D201" s="40"/>
    </row>
    <row r="202" spans="1:4" ht="15" x14ac:dyDescent="0.2">
      <c r="A202" s="41" t="s">
        <v>863</v>
      </c>
      <c r="B202" s="40"/>
      <c r="C202" s="40"/>
      <c r="D202" s="40"/>
    </row>
    <row r="203" spans="1:4" ht="15" x14ac:dyDescent="0.2">
      <c r="A203" s="41" t="s">
        <v>1064</v>
      </c>
      <c r="B203" s="40"/>
      <c r="C203" s="40"/>
      <c r="D203" s="40"/>
    </row>
    <row r="204" spans="1:4" ht="15" x14ac:dyDescent="0.2">
      <c r="A204" s="40" t="s">
        <v>1063</v>
      </c>
      <c r="B204" s="40"/>
      <c r="C204" s="40"/>
      <c r="D204" s="40"/>
    </row>
    <row r="205" spans="1:4" ht="15" x14ac:dyDescent="0.2">
      <c r="A205" s="41" t="s">
        <v>1062</v>
      </c>
      <c r="B205" s="40"/>
      <c r="C205" s="40"/>
      <c r="D205" s="40"/>
    </row>
    <row r="206" spans="1:4" ht="15" x14ac:dyDescent="0.2">
      <c r="A206" s="41" t="s">
        <v>1061</v>
      </c>
      <c r="B206" s="40"/>
      <c r="C206" s="40"/>
      <c r="D206" s="40"/>
    </row>
    <row r="208" spans="1:4" x14ac:dyDescent="0.2">
      <c r="A208" s="27" t="s">
        <v>1060</v>
      </c>
    </row>
    <row r="209" spans="1:3" x14ac:dyDescent="0.2">
      <c r="A209" s="25" t="s">
        <v>1059</v>
      </c>
      <c r="C209" s="10" t="s">
        <v>1053</v>
      </c>
    </row>
    <row r="210" spans="1:3" x14ac:dyDescent="0.2">
      <c r="A210" s="25" t="s">
        <v>1058</v>
      </c>
      <c r="C210" s="10" t="s">
        <v>1053</v>
      </c>
    </row>
    <row r="211" spans="1:3" x14ac:dyDescent="0.2">
      <c r="A211" s="25" t="s">
        <v>1057</v>
      </c>
      <c r="C211" s="10" t="s">
        <v>1053</v>
      </c>
    </row>
    <row r="212" spans="1:3" x14ac:dyDescent="0.2">
      <c r="A212" s="25" t="s">
        <v>1056</v>
      </c>
      <c r="C212" s="10" t="s">
        <v>1053</v>
      </c>
    </row>
    <row r="213" spans="1:3" x14ac:dyDescent="0.2">
      <c r="A213" s="25" t="s">
        <v>1055</v>
      </c>
      <c r="C213" s="10" t="s">
        <v>1053</v>
      </c>
    </row>
    <row r="214" spans="1:3" x14ac:dyDescent="0.2">
      <c r="A214" s="25" t="s">
        <v>1054</v>
      </c>
      <c r="C214" s="10" t="s">
        <v>1053</v>
      </c>
    </row>
    <row r="215" spans="1:3" x14ac:dyDescent="0.2">
      <c r="A215" s="25" t="s">
        <v>1052</v>
      </c>
      <c r="C215" s="10" t="s">
        <v>1051</v>
      </c>
    </row>
    <row r="218" spans="1:3" x14ac:dyDescent="0.2">
      <c r="A218" s="10" t="s">
        <v>746</v>
      </c>
    </row>
    <row r="219" spans="1:3" s="52" customFormat="1" ht="14.25" x14ac:dyDescent="0.2">
      <c r="A219" s="52" t="s">
        <v>1050</v>
      </c>
    </row>
    <row r="220" spans="1:3" x14ac:dyDescent="0.2">
      <c r="A220" s="25" t="s">
        <v>1049</v>
      </c>
    </row>
    <row r="221" spans="1:3" x14ac:dyDescent="0.2">
      <c r="A221" s="25" t="s">
        <v>1048</v>
      </c>
    </row>
    <row r="222" spans="1:3" x14ac:dyDescent="0.2">
      <c r="A222" s="25" t="s">
        <v>1047</v>
      </c>
    </row>
    <row r="223" spans="1:3" x14ac:dyDescent="0.2">
      <c r="A223" s="25" t="s">
        <v>1046</v>
      </c>
    </row>
    <row r="224" spans="1:3" x14ac:dyDescent="0.2">
      <c r="A224" s="25" t="s">
        <v>1045</v>
      </c>
    </row>
    <row r="225" spans="1:2" x14ac:dyDescent="0.2">
      <c r="A225" s="25" t="s">
        <v>1044</v>
      </c>
    </row>
    <row r="226" spans="1:2" x14ac:dyDescent="0.2">
      <c r="A226" s="25" t="s">
        <v>1043</v>
      </c>
    </row>
    <row r="227" spans="1:2" x14ac:dyDescent="0.2">
      <c r="A227" s="25" t="s">
        <v>1042</v>
      </c>
    </row>
    <row r="228" spans="1:2" x14ac:dyDescent="0.2">
      <c r="A228" s="27" t="s">
        <v>1041</v>
      </c>
    </row>
    <row r="229" spans="1:2" x14ac:dyDescent="0.2">
      <c r="A229" s="10" t="s">
        <v>1040</v>
      </c>
    </row>
    <row r="230" spans="1:2" x14ac:dyDescent="0.2">
      <c r="A230" s="25" t="s">
        <v>1039</v>
      </c>
    </row>
    <row r="231" spans="1:2" x14ac:dyDescent="0.2">
      <c r="A231" s="25" t="s">
        <v>1038</v>
      </c>
    </row>
    <row r="232" spans="1:2" x14ac:dyDescent="0.2">
      <c r="A232" s="25" t="s">
        <v>1037</v>
      </c>
    </row>
    <row r="233" spans="1:2" x14ac:dyDescent="0.2">
      <c r="A233" s="25" t="s">
        <v>1036</v>
      </c>
    </row>
    <row r="234" spans="1:2" x14ac:dyDescent="0.2">
      <c r="A234" s="25" t="s">
        <v>1035</v>
      </c>
    </row>
    <row r="235" spans="1:2" x14ac:dyDescent="0.2">
      <c r="A235" s="25" t="s">
        <v>1034</v>
      </c>
    </row>
    <row r="236" spans="1:2" x14ac:dyDescent="0.2">
      <c r="A236" s="27" t="s">
        <v>1033</v>
      </c>
    </row>
    <row r="237" spans="1:2" x14ac:dyDescent="0.2">
      <c r="A237" s="25" t="s">
        <v>1032</v>
      </c>
      <c r="B237" s="10" t="s">
        <v>1031</v>
      </c>
    </row>
    <row r="238" spans="1:2" x14ac:dyDescent="0.2">
      <c r="A238" s="25" t="s">
        <v>1030</v>
      </c>
    </row>
    <row r="239" spans="1:2" x14ac:dyDescent="0.2">
      <c r="A239" s="25" t="s">
        <v>1029</v>
      </c>
    </row>
    <row r="240" spans="1:2" x14ac:dyDescent="0.2">
      <c r="A240" s="25" t="s">
        <v>1028</v>
      </c>
    </row>
    <row r="241" spans="1:3" x14ac:dyDescent="0.2">
      <c r="A241" s="25" t="s">
        <v>1027</v>
      </c>
    </row>
    <row r="242" spans="1:3" x14ac:dyDescent="0.2">
      <c r="A242" s="25" t="s">
        <v>1026</v>
      </c>
    </row>
    <row r="243" spans="1:3" x14ac:dyDescent="0.2">
      <c r="A243" s="25" t="s">
        <v>1025</v>
      </c>
    </row>
    <row r="244" spans="1:3" x14ac:dyDescent="0.2">
      <c r="A244" s="25" t="s">
        <v>1024</v>
      </c>
    </row>
    <row r="245" spans="1:3" x14ac:dyDescent="0.2">
      <c r="A245" s="25" t="s">
        <v>1023</v>
      </c>
    </row>
    <row r="246" spans="1:3" x14ac:dyDescent="0.2">
      <c r="A246" s="25" t="s">
        <v>1022</v>
      </c>
    </row>
    <row r="247" spans="1:3" x14ac:dyDescent="0.2">
      <c r="A247" s="25" t="s">
        <v>606</v>
      </c>
    </row>
    <row r="248" spans="1:3" x14ac:dyDescent="0.2">
      <c r="A248" s="25" t="s">
        <v>605</v>
      </c>
    </row>
    <row r="249" spans="1:3" x14ac:dyDescent="0.2">
      <c r="A249" s="25" t="s">
        <v>1021</v>
      </c>
    </row>
    <row r="250" spans="1:3" x14ac:dyDescent="0.2">
      <c r="A250" s="88" t="s">
        <v>1020</v>
      </c>
      <c r="B250" s="88"/>
      <c r="C250" s="88"/>
    </row>
    <row r="251" spans="1:3" x14ac:dyDescent="0.2">
      <c r="A251" s="88"/>
      <c r="B251" s="88"/>
      <c r="C251" s="88"/>
    </row>
  </sheetData>
  <mergeCells count="3">
    <mergeCell ref="A4:B4"/>
    <mergeCell ref="B2:D3"/>
    <mergeCell ref="A250:C2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1870-6D69-4F5E-82F0-CE587A199A9F}">
  <dimension ref="A1:F80"/>
  <sheetViews>
    <sheetView tabSelected="1" topLeftCell="A9" zoomScale="130" zoomScaleNormal="130" workbookViewId="0">
      <selection activeCell="A22" sqref="A22"/>
    </sheetView>
  </sheetViews>
  <sheetFormatPr defaultColWidth="11.42578125" defaultRowHeight="12.75" x14ac:dyDescent="0.2"/>
  <cols>
    <col min="1" max="1" width="30.5703125" style="69" customWidth="1"/>
    <col min="2" max="2" width="52.28515625" style="69" customWidth="1"/>
    <col min="3" max="3" width="25.42578125" style="69" customWidth="1"/>
    <col min="4" max="4" width="32.42578125" style="69" customWidth="1"/>
    <col min="5" max="5" width="37.5703125" style="69" customWidth="1"/>
    <col min="6" max="6" width="16.140625" style="69" customWidth="1"/>
    <col min="7" max="16384" width="11.42578125" style="69"/>
  </cols>
  <sheetData>
    <row r="1" spans="1:5" ht="15" x14ac:dyDescent="0.25">
      <c r="A1" s="77" t="s">
        <v>1580</v>
      </c>
      <c r="B1" s="77"/>
      <c r="C1" s="77"/>
      <c r="D1" s="77"/>
    </row>
    <row r="3" spans="1:5" x14ac:dyDescent="0.2">
      <c r="A3" s="69" t="s">
        <v>1579</v>
      </c>
      <c r="B3" s="78" t="s">
        <v>1578</v>
      </c>
      <c r="C3" s="78"/>
      <c r="D3" s="78"/>
    </row>
    <row r="4" spans="1:5" x14ac:dyDescent="0.2">
      <c r="B4" s="78"/>
      <c r="C4" s="78"/>
      <c r="D4" s="78"/>
    </row>
    <row r="6" spans="1:5" x14ac:dyDescent="0.2">
      <c r="A6" s="69" t="s">
        <v>1577</v>
      </c>
    </row>
    <row r="7" spans="1:5" ht="15.75" x14ac:dyDescent="0.25">
      <c r="A7" s="75" t="s">
        <v>1576</v>
      </c>
      <c r="B7" s="75"/>
    </row>
    <row r="8" spans="1:5" ht="15.75" x14ac:dyDescent="0.2">
      <c r="A8" s="72" t="s">
        <v>1575</v>
      </c>
      <c r="B8" s="72" t="s">
        <v>1574</v>
      </c>
      <c r="C8" s="72" t="s">
        <v>1069</v>
      </c>
      <c r="D8" s="72" t="s">
        <v>1235</v>
      </c>
      <c r="E8" s="72" t="s">
        <v>1068</v>
      </c>
    </row>
    <row r="9" spans="1:5" ht="15" x14ac:dyDescent="0.2">
      <c r="A9" s="70" t="s">
        <v>1573</v>
      </c>
      <c r="B9" s="70" t="s">
        <v>1572</v>
      </c>
      <c r="C9" s="70"/>
      <c r="D9" s="70"/>
      <c r="E9" s="70"/>
    </row>
    <row r="10" spans="1:5" ht="15" x14ac:dyDescent="0.2">
      <c r="A10" s="70" t="s">
        <v>1571</v>
      </c>
      <c r="B10" s="70" t="s">
        <v>1570</v>
      </c>
      <c r="C10" s="70"/>
      <c r="D10" s="70"/>
      <c r="E10" s="70"/>
    </row>
    <row r="11" spans="1:5" ht="30" x14ac:dyDescent="0.2">
      <c r="A11" s="70" t="s">
        <v>1569</v>
      </c>
      <c r="B11" s="70" t="s">
        <v>1568</v>
      </c>
      <c r="C11" s="70"/>
      <c r="D11" s="70"/>
      <c r="E11" s="70"/>
    </row>
    <row r="12" spans="1:5" ht="15" x14ac:dyDescent="0.2">
      <c r="A12" s="70" t="s">
        <v>1567</v>
      </c>
      <c r="B12" s="70" t="s">
        <v>1566</v>
      </c>
      <c r="C12" s="70"/>
      <c r="D12" s="70"/>
      <c r="E12" s="70"/>
    </row>
    <row r="13" spans="1:5" ht="15" x14ac:dyDescent="0.2">
      <c r="A13" s="70" t="s">
        <v>1565</v>
      </c>
      <c r="B13" s="70" t="s">
        <v>1564</v>
      </c>
      <c r="C13" s="70"/>
      <c r="D13" s="70"/>
      <c r="E13" s="70"/>
    </row>
    <row r="15" spans="1:5" x14ac:dyDescent="0.2">
      <c r="A15" s="69" t="s">
        <v>1563</v>
      </c>
      <c r="B15" s="69" t="s">
        <v>1562</v>
      </c>
    </row>
    <row r="17" spans="1:6" x14ac:dyDescent="0.2">
      <c r="A17" s="69" t="s">
        <v>1561</v>
      </c>
    </row>
    <row r="18" spans="1:6" x14ac:dyDescent="0.2">
      <c r="A18" s="69" t="s">
        <v>1560</v>
      </c>
    </row>
    <row r="19" spans="1:6" ht="15.75" x14ac:dyDescent="0.25">
      <c r="A19" s="75" t="s">
        <v>1559</v>
      </c>
      <c r="B19" s="75"/>
    </row>
    <row r="20" spans="1:6" ht="15.75" x14ac:dyDescent="0.2">
      <c r="A20" s="72" t="s">
        <v>1285</v>
      </c>
      <c r="B20" s="72" t="s">
        <v>1558</v>
      </c>
      <c r="C20" s="72" t="s">
        <v>1557</v>
      </c>
      <c r="D20" s="72" t="s">
        <v>1556</v>
      </c>
      <c r="E20" s="72" t="s">
        <v>1555</v>
      </c>
      <c r="F20" s="72" t="s">
        <v>8</v>
      </c>
    </row>
    <row r="21" spans="1:6" ht="15" x14ac:dyDescent="0.2">
      <c r="A21" s="70" t="s">
        <v>1554</v>
      </c>
      <c r="B21" s="74" t="s">
        <v>1537</v>
      </c>
      <c r="C21" s="74" t="s">
        <v>1542</v>
      </c>
      <c r="D21" s="70" t="s">
        <v>1553</v>
      </c>
      <c r="E21" s="70" t="s">
        <v>1552</v>
      </c>
      <c r="F21" s="70" t="s">
        <v>1551</v>
      </c>
    </row>
    <row r="22" spans="1:6" ht="30" x14ac:dyDescent="0.2">
      <c r="A22" s="70" t="s">
        <v>1550</v>
      </c>
      <c r="B22" s="74" t="s">
        <v>1537</v>
      </c>
      <c r="C22" s="74" t="s">
        <v>1537</v>
      </c>
      <c r="D22" s="70" t="s">
        <v>1549</v>
      </c>
      <c r="E22" s="70" t="s">
        <v>1548</v>
      </c>
      <c r="F22" s="70" t="s">
        <v>116</v>
      </c>
    </row>
    <row r="23" spans="1:6" ht="15" x14ac:dyDescent="0.2">
      <c r="A23" s="70" t="s">
        <v>1547</v>
      </c>
      <c r="B23" s="74" t="s">
        <v>1537</v>
      </c>
      <c r="C23" s="74" t="s">
        <v>1537</v>
      </c>
      <c r="D23" s="70" t="s">
        <v>1546</v>
      </c>
      <c r="E23" s="70" t="s">
        <v>1545</v>
      </c>
      <c r="F23" s="70" t="s">
        <v>1544</v>
      </c>
    </row>
    <row r="24" spans="1:6" ht="15" x14ac:dyDescent="0.2">
      <c r="A24" s="70" t="s">
        <v>1543</v>
      </c>
      <c r="B24" s="74" t="s">
        <v>1542</v>
      </c>
      <c r="C24" s="74" t="s">
        <v>1542</v>
      </c>
      <c r="D24" s="70" t="s">
        <v>1541</v>
      </c>
      <c r="E24" s="70" t="s">
        <v>1540</v>
      </c>
      <c r="F24" s="70" t="s">
        <v>1539</v>
      </c>
    </row>
    <row r="25" spans="1:6" ht="15" x14ac:dyDescent="0.2">
      <c r="A25" s="70" t="s">
        <v>1538</v>
      </c>
      <c r="B25" s="74" t="s">
        <v>1537</v>
      </c>
      <c r="C25" s="74" t="s">
        <v>1537</v>
      </c>
      <c r="D25" s="70" t="s">
        <v>1536</v>
      </c>
      <c r="E25" s="70" t="s">
        <v>1535</v>
      </c>
      <c r="F25" s="70" t="s">
        <v>51</v>
      </c>
    </row>
    <row r="27" spans="1:6" ht="15.75" x14ac:dyDescent="0.25">
      <c r="A27" s="75" t="s">
        <v>1534</v>
      </c>
      <c r="B27" s="75"/>
    </row>
    <row r="28" spans="1:6" ht="15.75" x14ac:dyDescent="0.2">
      <c r="A28" s="72" t="s">
        <v>1533</v>
      </c>
      <c r="B28" s="72" t="s">
        <v>1532</v>
      </c>
      <c r="C28" s="72" t="s">
        <v>1531</v>
      </c>
      <c r="D28" s="72" t="s">
        <v>1530</v>
      </c>
      <c r="E28" s="72" t="s">
        <v>8</v>
      </c>
    </row>
    <row r="29" spans="1:6" ht="15" x14ac:dyDescent="0.2">
      <c r="A29" s="70" t="s">
        <v>1529</v>
      </c>
      <c r="B29" s="70" t="s">
        <v>1528</v>
      </c>
      <c r="C29" s="70" t="s">
        <v>1527</v>
      </c>
      <c r="D29" s="70" t="s">
        <v>1526</v>
      </c>
      <c r="E29" s="70" t="s">
        <v>1525</v>
      </c>
    </row>
    <row r="30" spans="1:6" ht="15" x14ac:dyDescent="0.2">
      <c r="A30" s="70" t="s">
        <v>1524</v>
      </c>
      <c r="B30" s="70" t="s">
        <v>1523</v>
      </c>
      <c r="C30" s="70" t="s">
        <v>1522</v>
      </c>
      <c r="D30" s="70" t="s">
        <v>1521</v>
      </c>
      <c r="E30" s="70" t="s">
        <v>1520</v>
      </c>
    </row>
    <row r="31" spans="1:6" ht="15" x14ac:dyDescent="0.2">
      <c r="A31" s="70" t="s">
        <v>1519</v>
      </c>
      <c r="B31" s="70" t="s">
        <v>1518</v>
      </c>
      <c r="C31" s="70" t="s">
        <v>1517</v>
      </c>
      <c r="D31" s="70" t="s">
        <v>1516</v>
      </c>
      <c r="E31" s="70" t="s">
        <v>1515</v>
      </c>
    </row>
    <row r="32" spans="1:6" ht="15" x14ac:dyDescent="0.2">
      <c r="A32" s="70" t="s">
        <v>1514</v>
      </c>
      <c r="B32" s="70" t="s">
        <v>1513</v>
      </c>
      <c r="C32" s="70" t="s">
        <v>1512</v>
      </c>
      <c r="D32" s="70" t="s">
        <v>1507</v>
      </c>
      <c r="E32" s="70" t="s">
        <v>1511</v>
      </c>
    </row>
    <row r="33" spans="1:5" ht="15" x14ac:dyDescent="0.2">
      <c r="A33" s="70" t="s">
        <v>1510</v>
      </c>
      <c r="B33" s="70" t="s">
        <v>1509</v>
      </c>
      <c r="C33" s="70" t="s">
        <v>1508</v>
      </c>
      <c r="D33" s="70" t="s">
        <v>1507</v>
      </c>
      <c r="E33" s="70" t="s">
        <v>1506</v>
      </c>
    </row>
    <row r="35" spans="1:5" ht="15.75" x14ac:dyDescent="0.25">
      <c r="A35" s="73" t="s">
        <v>1505</v>
      </c>
      <c r="B35" s="73"/>
    </row>
    <row r="36" spans="1:5" ht="15.75" x14ac:dyDescent="0.2">
      <c r="A36" s="72" t="s">
        <v>640</v>
      </c>
      <c r="B36" s="72" t="s">
        <v>1504</v>
      </c>
      <c r="C36" s="72" t="s">
        <v>1503</v>
      </c>
      <c r="D36" s="72" t="s">
        <v>1502</v>
      </c>
      <c r="E36" s="72" t="s">
        <v>1501</v>
      </c>
    </row>
    <row r="37" spans="1:5" ht="15" x14ac:dyDescent="0.2">
      <c r="A37" s="70" t="s">
        <v>1500</v>
      </c>
      <c r="B37" s="70" t="s">
        <v>1499</v>
      </c>
      <c r="C37" s="70" t="s">
        <v>1498</v>
      </c>
      <c r="D37" s="70" t="s">
        <v>1497</v>
      </c>
      <c r="E37" s="70" t="s">
        <v>1496</v>
      </c>
    </row>
    <row r="38" spans="1:5" ht="15" x14ac:dyDescent="0.2">
      <c r="A38" s="70" t="s">
        <v>1495</v>
      </c>
      <c r="B38" s="70" t="s">
        <v>1494</v>
      </c>
      <c r="C38" s="70" t="s">
        <v>1493</v>
      </c>
      <c r="D38" s="70" t="s">
        <v>1492</v>
      </c>
      <c r="E38" s="70" t="s">
        <v>1491</v>
      </c>
    </row>
    <row r="39" spans="1:5" ht="15" x14ac:dyDescent="0.2">
      <c r="A39" s="70" t="s">
        <v>1490</v>
      </c>
      <c r="B39" s="70" t="s">
        <v>1489</v>
      </c>
      <c r="C39" s="70" t="s">
        <v>1488</v>
      </c>
      <c r="D39" s="70" t="s">
        <v>1487</v>
      </c>
      <c r="E39" s="70" t="s">
        <v>1486</v>
      </c>
    </row>
    <row r="40" spans="1:5" ht="15" x14ac:dyDescent="0.2">
      <c r="A40" s="70" t="s">
        <v>1485</v>
      </c>
      <c r="B40" s="70" t="s">
        <v>1484</v>
      </c>
      <c r="C40" s="70" t="s">
        <v>1483</v>
      </c>
      <c r="D40" s="70" t="s">
        <v>1482</v>
      </c>
      <c r="E40" s="70" t="s">
        <v>1481</v>
      </c>
    </row>
    <row r="42" spans="1:5" ht="15.75" x14ac:dyDescent="0.25">
      <c r="A42" s="75" t="s">
        <v>1480</v>
      </c>
      <c r="B42" s="75"/>
    </row>
    <row r="43" spans="1:5" ht="15.75" x14ac:dyDescent="0.2">
      <c r="A43" s="72" t="s">
        <v>1479</v>
      </c>
      <c r="B43" s="72" t="s">
        <v>1478</v>
      </c>
      <c r="C43" s="72" t="s">
        <v>1477</v>
      </c>
      <c r="D43" s="72" t="s">
        <v>8</v>
      </c>
      <c r="E43" s="72" t="s">
        <v>56</v>
      </c>
    </row>
    <row r="44" spans="1:5" ht="45" x14ac:dyDescent="0.2">
      <c r="A44" s="70" t="s">
        <v>1476</v>
      </c>
      <c r="B44" s="70" t="s">
        <v>1475</v>
      </c>
      <c r="C44" s="70" t="s">
        <v>1474</v>
      </c>
      <c r="D44" s="70" t="s">
        <v>308</v>
      </c>
      <c r="E44" s="70" t="s">
        <v>387</v>
      </c>
    </row>
    <row r="45" spans="1:5" ht="30" x14ac:dyDescent="0.2">
      <c r="A45" s="70" t="s">
        <v>1473</v>
      </c>
      <c r="B45" s="70" t="s">
        <v>1472</v>
      </c>
      <c r="C45" s="70" t="s">
        <v>1471</v>
      </c>
      <c r="D45" s="70" t="s">
        <v>1470</v>
      </c>
      <c r="E45" s="70" t="s">
        <v>1436</v>
      </c>
    </row>
    <row r="46" spans="1:5" ht="15" x14ac:dyDescent="0.2">
      <c r="A46" s="70" t="s">
        <v>1469</v>
      </c>
      <c r="B46" s="70" t="s">
        <v>1468</v>
      </c>
      <c r="C46" s="70" t="s">
        <v>1467</v>
      </c>
      <c r="D46" s="70" t="s">
        <v>1466</v>
      </c>
      <c r="E46" s="70" t="s">
        <v>1437</v>
      </c>
    </row>
    <row r="47" spans="1:5" ht="30" x14ac:dyDescent="0.2">
      <c r="A47" s="70" t="s">
        <v>1465</v>
      </c>
      <c r="B47" s="70" t="s">
        <v>1464</v>
      </c>
      <c r="C47" s="70" t="s">
        <v>1463</v>
      </c>
      <c r="D47" s="70" t="s">
        <v>1462</v>
      </c>
      <c r="E47" s="70" t="s">
        <v>1461</v>
      </c>
    </row>
    <row r="49" spans="1:6" ht="15.75" x14ac:dyDescent="0.25">
      <c r="A49" s="75" t="s">
        <v>1460</v>
      </c>
      <c r="B49" s="75"/>
    </row>
    <row r="50" spans="1:6" ht="15.75" x14ac:dyDescent="0.2">
      <c r="A50" s="72" t="s">
        <v>619</v>
      </c>
      <c r="B50" s="72" t="s">
        <v>1459</v>
      </c>
      <c r="C50" s="72" t="s">
        <v>894</v>
      </c>
      <c r="D50" s="72" t="s">
        <v>617</v>
      </c>
      <c r="E50" s="72" t="s">
        <v>1458</v>
      </c>
      <c r="F50" s="72" t="s">
        <v>8</v>
      </c>
    </row>
    <row r="51" spans="1:6" ht="15" x14ac:dyDescent="0.2">
      <c r="A51" s="70" t="s">
        <v>1457</v>
      </c>
      <c r="B51" s="70" t="s">
        <v>1456</v>
      </c>
      <c r="C51" s="70" t="s">
        <v>163</v>
      </c>
      <c r="D51" s="70" t="s">
        <v>102</v>
      </c>
      <c r="E51" s="70" t="s">
        <v>379</v>
      </c>
      <c r="F51" s="70" t="s">
        <v>1455</v>
      </c>
    </row>
    <row r="52" spans="1:6" ht="30" x14ac:dyDescent="0.2">
      <c r="A52" s="70" t="s">
        <v>1454</v>
      </c>
      <c r="B52" s="70" t="s">
        <v>1453</v>
      </c>
      <c r="C52" s="70" t="s">
        <v>1452</v>
      </c>
      <c r="D52" s="70" t="s">
        <v>1451</v>
      </c>
      <c r="E52" s="70" t="s">
        <v>379</v>
      </c>
      <c r="F52" s="70" t="s">
        <v>1450</v>
      </c>
    </row>
    <row r="53" spans="1:6" ht="15" x14ac:dyDescent="0.2">
      <c r="A53" s="70" t="s">
        <v>1449</v>
      </c>
      <c r="B53" s="70" t="s">
        <v>1448</v>
      </c>
      <c r="C53" s="70" t="s">
        <v>18</v>
      </c>
      <c r="D53" s="70" t="s">
        <v>91</v>
      </c>
      <c r="E53" s="70" t="s">
        <v>383</v>
      </c>
      <c r="F53" s="70" t="s">
        <v>1447</v>
      </c>
    </row>
    <row r="54" spans="1:6" ht="15" x14ac:dyDescent="0.2">
      <c r="A54" s="70" t="s">
        <v>1446</v>
      </c>
      <c r="B54" s="70" t="s">
        <v>1445</v>
      </c>
      <c r="C54" s="70">
        <v>45</v>
      </c>
      <c r="D54" s="70">
        <v>65</v>
      </c>
      <c r="E54" s="70" t="s">
        <v>383</v>
      </c>
      <c r="F54" s="70" t="s">
        <v>308</v>
      </c>
    </row>
    <row r="55" spans="1:6" ht="15" x14ac:dyDescent="0.2">
      <c r="A55" s="70" t="s">
        <v>1444</v>
      </c>
      <c r="B55" s="70" t="s">
        <v>1443</v>
      </c>
      <c r="C55" s="70">
        <v>0</v>
      </c>
      <c r="D55" s="70" t="s">
        <v>1442</v>
      </c>
      <c r="E55" s="70" t="s">
        <v>383</v>
      </c>
      <c r="F55" s="70" t="s">
        <v>1322</v>
      </c>
    </row>
    <row r="57" spans="1:6" x14ac:dyDescent="0.2">
      <c r="A57" s="69" t="s">
        <v>1441</v>
      </c>
    </row>
    <row r="58" spans="1:6" x14ac:dyDescent="0.2">
      <c r="A58" s="69" t="s">
        <v>1440</v>
      </c>
    </row>
    <row r="59" spans="1:6" ht="15.75" x14ac:dyDescent="0.25">
      <c r="A59" s="75" t="s">
        <v>1439</v>
      </c>
      <c r="B59" s="75"/>
    </row>
    <row r="60" spans="1:6" ht="15.75" x14ac:dyDescent="0.2">
      <c r="A60" s="71" t="s">
        <v>1438</v>
      </c>
      <c r="B60" s="71" t="s">
        <v>1437</v>
      </c>
      <c r="C60" s="71" t="s">
        <v>1436</v>
      </c>
      <c r="D60" s="71" t="s">
        <v>1435</v>
      </c>
      <c r="E60" s="71" t="s">
        <v>1434</v>
      </c>
      <c r="F60" s="71" t="s">
        <v>1433</v>
      </c>
    </row>
    <row r="61" spans="1:6" ht="15" x14ac:dyDescent="0.2">
      <c r="A61" s="70" t="s">
        <v>1432</v>
      </c>
      <c r="B61" s="70" t="s">
        <v>1425</v>
      </c>
      <c r="C61" s="70"/>
      <c r="D61" s="70"/>
      <c r="E61" s="70"/>
      <c r="F61" s="70"/>
    </row>
    <row r="62" spans="1:6" ht="15" x14ac:dyDescent="0.2">
      <c r="A62" s="70" t="s">
        <v>1431</v>
      </c>
      <c r="B62" s="70" t="s">
        <v>1425</v>
      </c>
      <c r="C62" s="70" t="s">
        <v>1425</v>
      </c>
      <c r="D62" s="70"/>
      <c r="E62" s="70"/>
      <c r="F62" s="70"/>
    </row>
    <row r="63" spans="1:6" ht="15" x14ac:dyDescent="0.2">
      <c r="A63" s="70" t="s">
        <v>1430</v>
      </c>
      <c r="B63" s="70"/>
      <c r="C63" s="70" t="s">
        <v>1425</v>
      </c>
      <c r="D63" s="70" t="s">
        <v>1425</v>
      </c>
      <c r="E63" s="70"/>
      <c r="F63" s="70"/>
    </row>
    <row r="64" spans="1:6" ht="15" x14ac:dyDescent="0.2">
      <c r="A64" s="70" t="s">
        <v>1429</v>
      </c>
      <c r="B64" s="70"/>
      <c r="C64" s="70" t="s">
        <v>1425</v>
      </c>
      <c r="D64" s="70" t="s">
        <v>1425</v>
      </c>
      <c r="E64" s="70"/>
      <c r="F64" s="70"/>
    </row>
    <row r="65" spans="1:6" ht="15" x14ac:dyDescent="0.2">
      <c r="A65" s="70" t="s">
        <v>1428</v>
      </c>
      <c r="B65" s="70"/>
      <c r="C65" s="70"/>
      <c r="D65" s="70" t="s">
        <v>1425</v>
      </c>
      <c r="E65" s="70"/>
      <c r="F65" s="70"/>
    </row>
    <row r="66" spans="1:6" ht="15" x14ac:dyDescent="0.2">
      <c r="A66" s="70" t="s">
        <v>1427</v>
      </c>
      <c r="B66" s="70"/>
      <c r="C66" s="70"/>
      <c r="D66" s="70"/>
      <c r="E66" s="70" t="s">
        <v>1425</v>
      </c>
      <c r="F66" s="70" t="s">
        <v>1425</v>
      </c>
    </row>
    <row r="67" spans="1:6" ht="30" x14ac:dyDescent="0.2">
      <c r="A67" s="70" t="s">
        <v>1426</v>
      </c>
      <c r="B67" s="70"/>
      <c r="C67" s="70"/>
      <c r="D67" s="70"/>
      <c r="E67" s="70" t="s">
        <v>1425</v>
      </c>
      <c r="F67" s="70" t="s">
        <v>1425</v>
      </c>
    </row>
    <row r="69" spans="1:6" x14ac:dyDescent="0.2">
      <c r="A69" s="69" t="s">
        <v>1424</v>
      </c>
    </row>
    <row r="70" spans="1:6" ht="15.75" x14ac:dyDescent="0.25">
      <c r="A70" s="75" t="s">
        <v>1423</v>
      </c>
      <c r="B70" s="75"/>
    </row>
    <row r="71" spans="1:6" x14ac:dyDescent="0.2">
      <c r="A71" s="69" t="s">
        <v>1422</v>
      </c>
    </row>
    <row r="72" spans="1:6" x14ac:dyDescent="0.2">
      <c r="A72" s="69" t="s">
        <v>1421</v>
      </c>
    </row>
    <row r="73" spans="1:6" x14ac:dyDescent="0.2">
      <c r="A73" s="69" t="s">
        <v>1420</v>
      </c>
    </row>
    <row r="74" spans="1:6" x14ac:dyDescent="0.2">
      <c r="A74" s="69" t="s">
        <v>1419</v>
      </c>
    </row>
    <row r="75" spans="1:6" x14ac:dyDescent="0.2">
      <c r="A75" s="69" t="s">
        <v>1418</v>
      </c>
    </row>
    <row r="76" spans="1:6" x14ac:dyDescent="0.2">
      <c r="A76" s="69" t="s">
        <v>1417</v>
      </c>
    </row>
    <row r="77" spans="1:6" x14ac:dyDescent="0.2">
      <c r="A77" s="69" t="s">
        <v>1416</v>
      </c>
    </row>
    <row r="79" spans="1:6" x14ac:dyDescent="0.2">
      <c r="A79" s="76" t="s">
        <v>1415</v>
      </c>
      <c r="B79" s="76"/>
    </row>
    <row r="80" spans="1:6" x14ac:dyDescent="0.2">
      <c r="A80" s="76"/>
      <c r="B80" s="76"/>
    </row>
  </sheetData>
  <mergeCells count="10">
    <mergeCell ref="A59:B59"/>
    <mergeCell ref="A70:B70"/>
    <mergeCell ref="A79:B80"/>
    <mergeCell ref="A1:D1"/>
    <mergeCell ref="B3:D4"/>
    <mergeCell ref="A7:B7"/>
    <mergeCell ref="A19:B19"/>
    <mergeCell ref="A27:B27"/>
    <mergeCell ref="A42:B42"/>
    <mergeCell ref="A49:B49"/>
  </mergeCells>
  <pageMargins left="0.7" right="0.7" top="0.75" bottom="0.75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48E96-AA74-49C2-B885-01977B336574}">
  <dimension ref="A1:F36"/>
  <sheetViews>
    <sheetView zoomScale="130" zoomScaleNormal="130" workbookViewId="0">
      <selection activeCell="A28" sqref="A28"/>
    </sheetView>
  </sheetViews>
  <sheetFormatPr defaultRowHeight="15" x14ac:dyDescent="0.25"/>
  <cols>
    <col min="1" max="1" width="38.42578125" bestFit="1" customWidth="1"/>
    <col min="2" max="2" width="17.7109375" bestFit="1" customWidth="1"/>
    <col min="3" max="3" width="16.42578125" bestFit="1" customWidth="1"/>
    <col min="4" max="4" width="19.28515625" bestFit="1" customWidth="1"/>
    <col min="5" max="5" width="70.7109375" bestFit="1" customWidth="1"/>
    <col min="6" max="6" width="19.28515625" bestFit="1" customWidth="1"/>
  </cols>
  <sheetData>
    <row r="1" spans="1:6" x14ac:dyDescent="0.25">
      <c r="A1" s="89" t="s">
        <v>24</v>
      </c>
      <c r="B1" s="89"/>
      <c r="C1" s="89"/>
      <c r="D1" s="89"/>
      <c r="E1" s="89"/>
      <c r="F1" s="89"/>
    </row>
    <row r="2" spans="1:6" x14ac:dyDescent="0.25">
      <c r="A2" s="89"/>
      <c r="B2" s="89"/>
      <c r="C2" s="89"/>
      <c r="D2" s="89"/>
      <c r="E2" s="89"/>
      <c r="F2" s="89"/>
    </row>
    <row r="3" spans="1:6" x14ac:dyDescent="0.25">
      <c r="A3" s="8" t="s">
        <v>25</v>
      </c>
      <c r="B3" s="8" t="s">
        <v>26</v>
      </c>
      <c r="C3" s="8" t="s">
        <v>27</v>
      </c>
      <c r="D3" s="8" t="s">
        <v>1</v>
      </c>
      <c r="E3" s="8" t="s">
        <v>28</v>
      </c>
      <c r="F3" s="8" t="s">
        <v>8</v>
      </c>
    </row>
    <row r="4" spans="1:6" x14ac:dyDescent="0.25">
      <c r="A4" t="s">
        <v>29</v>
      </c>
      <c r="B4">
        <v>2</v>
      </c>
      <c r="C4">
        <v>5</v>
      </c>
      <c r="D4">
        <v>3</v>
      </c>
      <c r="E4" t="s">
        <v>30</v>
      </c>
      <c r="F4" t="s">
        <v>9</v>
      </c>
    </row>
    <row r="5" spans="1:6" x14ac:dyDescent="0.25">
      <c r="A5" t="s">
        <v>31</v>
      </c>
      <c r="B5">
        <v>2</v>
      </c>
      <c r="C5">
        <v>4</v>
      </c>
      <c r="D5">
        <v>2</v>
      </c>
      <c r="E5" t="s">
        <v>32</v>
      </c>
      <c r="F5" t="s">
        <v>16</v>
      </c>
    </row>
    <row r="6" spans="1:6" x14ac:dyDescent="0.25">
      <c r="A6" t="s">
        <v>33</v>
      </c>
      <c r="B6">
        <v>4</v>
      </c>
      <c r="C6">
        <v>5</v>
      </c>
      <c r="D6">
        <v>1</v>
      </c>
      <c r="E6" t="s">
        <v>34</v>
      </c>
      <c r="F6" t="s">
        <v>35</v>
      </c>
    </row>
    <row r="7" spans="1:6" x14ac:dyDescent="0.25">
      <c r="A7" t="s">
        <v>36</v>
      </c>
      <c r="B7">
        <v>2</v>
      </c>
      <c r="C7">
        <v>4</v>
      </c>
      <c r="D7">
        <v>2</v>
      </c>
      <c r="E7" t="s">
        <v>37</v>
      </c>
      <c r="F7" t="s">
        <v>9</v>
      </c>
    </row>
    <row r="8" spans="1:6" x14ac:dyDescent="0.25">
      <c r="A8" t="s">
        <v>38</v>
      </c>
      <c r="B8">
        <v>3</v>
      </c>
      <c r="C8">
        <v>5</v>
      </c>
      <c r="D8">
        <v>2</v>
      </c>
      <c r="E8" t="s">
        <v>39</v>
      </c>
      <c r="F8" t="s">
        <v>40</v>
      </c>
    </row>
    <row r="9" spans="1:6" x14ac:dyDescent="0.25">
      <c r="A9" t="s">
        <v>41</v>
      </c>
      <c r="B9">
        <v>3</v>
      </c>
      <c r="C9">
        <v>4</v>
      </c>
      <c r="D9">
        <v>1</v>
      </c>
      <c r="E9" t="s">
        <v>42</v>
      </c>
      <c r="F9" t="s">
        <v>43</v>
      </c>
    </row>
    <row r="10" spans="1:6" x14ac:dyDescent="0.25">
      <c r="A10" t="s">
        <v>44</v>
      </c>
      <c r="B10">
        <v>0</v>
      </c>
      <c r="C10">
        <v>5</v>
      </c>
      <c r="D10">
        <v>5</v>
      </c>
      <c r="E10" t="s">
        <v>45</v>
      </c>
      <c r="F10" t="s">
        <v>46</v>
      </c>
    </row>
    <row r="11" spans="1:6" x14ac:dyDescent="0.25">
      <c r="A11" t="s">
        <v>47</v>
      </c>
      <c r="B11">
        <v>1</v>
      </c>
      <c r="C11">
        <v>5</v>
      </c>
      <c r="D11">
        <v>4</v>
      </c>
      <c r="E11" t="s">
        <v>48</v>
      </c>
      <c r="F11" t="s">
        <v>16</v>
      </c>
    </row>
    <row r="12" spans="1:6" x14ac:dyDescent="0.25">
      <c r="A12" t="s">
        <v>49</v>
      </c>
      <c r="B12">
        <v>0</v>
      </c>
      <c r="C12">
        <v>5</v>
      </c>
      <c r="D12">
        <v>5</v>
      </c>
      <c r="E12" t="s">
        <v>50</v>
      </c>
      <c r="F12" t="s">
        <v>51</v>
      </c>
    </row>
    <row r="13" spans="1:6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</row>
    <row r="14" spans="1:6" x14ac:dyDescent="0.25">
      <c r="A14" t="s">
        <v>52</v>
      </c>
      <c r="B14">
        <v>2.11</v>
      </c>
      <c r="C14">
        <v>4.5599999999999996</v>
      </c>
      <c r="D14">
        <v>2.44</v>
      </c>
      <c r="E14" t="s">
        <v>53</v>
      </c>
      <c r="F14" t="s">
        <v>0</v>
      </c>
    </row>
    <row r="15" spans="1:6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</row>
    <row r="16" spans="1:6" x14ac:dyDescent="0.25">
      <c r="A16" t="s">
        <v>54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</row>
    <row r="17" spans="1:6" x14ac:dyDescent="0.25">
      <c r="A17" t="s">
        <v>55</v>
      </c>
      <c r="B17" t="s">
        <v>56</v>
      </c>
      <c r="C17" t="s">
        <v>57</v>
      </c>
      <c r="D17" t="s">
        <v>8</v>
      </c>
      <c r="E17" t="s">
        <v>58</v>
      </c>
      <c r="F17" t="s">
        <v>7</v>
      </c>
    </row>
    <row r="18" spans="1:6" x14ac:dyDescent="0.25">
      <c r="A18" t="s">
        <v>59</v>
      </c>
      <c r="B18" t="s">
        <v>60</v>
      </c>
      <c r="C18">
        <v>30</v>
      </c>
      <c r="D18" t="s">
        <v>9</v>
      </c>
      <c r="E18" t="s">
        <v>61</v>
      </c>
      <c r="F18" t="s">
        <v>62</v>
      </c>
    </row>
    <row r="19" spans="1:6" x14ac:dyDescent="0.25">
      <c r="A19" t="s">
        <v>63</v>
      </c>
      <c r="B19" t="s">
        <v>60</v>
      </c>
      <c r="C19">
        <v>15</v>
      </c>
      <c r="D19" t="s">
        <v>16</v>
      </c>
      <c r="E19" t="s">
        <v>64</v>
      </c>
      <c r="F19" t="s">
        <v>62</v>
      </c>
    </row>
    <row r="20" spans="1:6" x14ac:dyDescent="0.25">
      <c r="A20" t="s">
        <v>65</v>
      </c>
      <c r="B20" t="s">
        <v>60</v>
      </c>
      <c r="C20">
        <v>15</v>
      </c>
      <c r="D20" t="s">
        <v>51</v>
      </c>
      <c r="E20" t="s">
        <v>66</v>
      </c>
      <c r="F20" t="s">
        <v>67</v>
      </c>
    </row>
    <row r="21" spans="1:6" x14ac:dyDescent="0.25">
      <c r="A21" t="s">
        <v>68</v>
      </c>
      <c r="B21" t="s">
        <v>60</v>
      </c>
      <c r="C21">
        <v>10</v>
      </c>
      <c r="D21" t="s">
        <v>9</v>
      </c>
      <c r="E21" t="s">
        <v>69</v>
      </c>
      <c r="F21" t="s">
        <v>70</v>
      </c>
    </row>
    <row r="22" spans="1:6" x14ac:dyDescent="0.25">
      <c r="A22" t="s">
        <v>71</v>
      </c>
      <c r="B22" t="s">
        <v>60</v>
      </c>
      <c r="C22">
        <v>20</v>
      </c>
      <c r="D22" t="s">
        <v>46</v>
      </c>
      <c r="E22" t="s">
        <v>72</v>
      </c>
      <c r="F22" t="s">
        <v>62</v>
      </c>
    </row>
    <row r="23" spans="1:6" x14ac:dyDescent="0.25">
      <c r="A23" t="s">
        <v>73</v>
      </c>
      <c r="B23" t="s">
        <v>60</v>
      </c>
      <c r="C23">
        <v>25</v>
      </c>
      <c r="D23" t="s">
        <v>51</v>
      </c>
      <c r="E23" t="s">
        <v>74</v>
      </c>
      <c r="F23" t="s">
        <v>75</v>
      </c>
    </row>
    <row r="24" spans="1:6" x14ac:dyDescent="0.25">
      <c r="A24" t="s">
        <v>76</v>
      </c>
      <c r="B24" t="s">
        <v>77</v>
      </c>
      <c r="C24">
        <v>25</v>
      </c>
      <c r="D24" t="s">
        <v>9</v>
      </c>
      <c r="E24" t="s">
        <v>78</v>
      </c>
      <c r="F24" t="s">
        <v>75</v>
      </c>
    </row>
    <row r="25" spans="1:6" x14ac:dyDescent="0.25">
      <c r="A25" t="s">
        <v>79</v>
      </c>
      <c r="B25" t="s">
        <v>77</v>
      </c>
      <c r="C25">
        <v>20</v>
      </c>
      <c r="D25" t="s">
        <v>9</v>
      </c>
      <c r="E25" t="s">
        <v>80</v>
      </c>
      <c r="F25" t="s">
        <v>75</v>
      </c>
    </row>
    <row r="26" spans="1:6" x14ac:dyDescent="0.25">
      <c r="A26" t="s">
        <v>81</v>
      </c>
      <c r="B26" t="s">
        <v>82</v>
      </c>
      <c r="C26">
        <v>30</v>
      </c>
      <c r="D26" t="s">
        <v>9</v>
      </c>
      <c r="E26" t="s">
        <v>83</v>
      </c>
      <c r="F26" t="s">
        <v>75</v>
      </c>
    </row>
    <row r="27" spans="1:6" x14ac:dyDescent="0.2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</row>
    <row r="28" spans="1:6" x14ac:dyDescent="0.25">
      <c r="A28" t="s">
        <v>84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</row>
    <row r="29" spans="1:6" x14ac:dyDescent="0.25">
      <c r="A29" t="s">
        <v>6</v>
      </c>
      <c r="B29" t="s">
        <v>85</v>
      </c>
      <c r="C29" t="s">
        <v>86</v>
      </c>
      <c r="D29" t="s">
        <v>87</v>
      </c>
      <c r="E29" t="s">
        <v>88</v>
      </c>
      <c r="F29" t="s">
        <v>8</v>
      </c>
    </row>
    <row r="30" spans="1:6" x14ac:dyDescent="0.25">
      <c r="A30" t="s">
        <v>89</v>
      </c>
      <c r="B30" t="s">
        <v>90</v>
      </c>
      <c r="C30" t="s">
        <v>18</v>
      </c>
      <c r="D30" t="s">
        <v>91</v>
      </c>
      <c r="E30" t="s">
        <v>92</v>
      </c>
      <c r="F30" t="s">
        <v>9</v>
      </c>
    </row>
    <row r="31" spans="1:6" x14ac:dyDescent="0.25">
      <c r="A31" t="s">
        <v>93</v>
      </c>
      <c r="B31" t="s">
        <v>14</v>
      </c>
      <c r="C31" t="s">
        <v>90</v>
      </c>
      <c r="D31" t="s">
        <v>18</v>
      </c>
      <c r="E31" t="s">
        <v>94</v>
      </c>
      <c r="F31" t="s">
        <v>16</v>
      </c>
    </row>
    <row r="32" spans="1:6" x14ac:dyDescent="0.25">
      <c r="A32" t="s">
        <v>95</v>
      </c>
      <c r="B32" t="s">
        <v>96</v>
      </c>
      <c r="C32" t="s">
        <v>97</v>
      </c>
      <c r="D32" t="s">
        <v>98</v>
      </c>
      <c r="E32" t="s">
        <v>99</v>
      </c>
      <c r="F32" t="s">
        <v>16</v>
      </c>
    </row>
    <row r="33" spans="1:6" x14ac:dyDescent="0.25">
      <c r="A33" t="s">
        <v>100</v>
      </c>
      <c r="B33" t="s">
        <v>14</v>
      </c>
      <c r="C33" t="s">
        <v>11</v>
      </c>
      <c r="D33" t="s">
        <v>94</v>
      </c>
      <c r="E33" t="s">
        <v>92</v>
      </c>
      <c r="F33" t="s">
        <v>9</v>
      </c>
    </row>
    <row r="34" spans="1:6" x14ac:dyDescent="0.25">
      <c r="A34" t="s">
        <v>101</v>
      </c>
      <c r="B34" t="s">
        <v>102</v>
      </c>
      <c r="C34" t="s">
        <v>103</v>
      </c>
      <c r="D34" t="s">
        <v>104</v>
      </c>
      <c r="E34" t="s">
        <v>104</v>
      </c>
      <c r="F34" t="s">
        <v>51</v>
      </c>
    </row>
    <row r="35" spans="1:6" x14ac:dyDescent="0.25">
      <c r="A35" t="s">
        <v>105</v>
      </c>
      <c r="B35" t="s">
        <v>106</v>
      </c>
      <c r="C35" t="s">
        <v>107</v>
      </c>
      <c r="D35" t="s">
        <v>108</v>
      </c>
      <c r="E35" t="s">
        <v>109</v>
      </c>
      <c r="F35" t="s">
        <v>9</v>
      </c>
    </row>
    <row r="36" spans="1:6" x14ac:dyDescent="0.25">
      <c r="A36" t="s">
        <v>110</v>
      </c>
      <c r="B36">
        <v>0</v>
      </c>
      <c r="C36">
        <v>2</v>
      </c>
      <c r="D36">
        <v>5</v>
      </c>
      <c r="E36">
        <v>8</v>
      </c>
      <c r="F36" t="s">
        <v>51</v>
      </c>
    </row>
  </sheetData>
  <mergeCells count="1">
    <mergeCell ref="A1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F315-6A48-4153-858E-94D33743FEBE}">
  <dimension ref="A1:F37"/>
  <sheetViews>
    <sheetView topLeftCell="B28" zoomScale="196" zoomScaleNormal="196" workbookViewId="0">
      <selection activeCell="B16" sqref="B16"/>
    </sheetView>
  </sheetViews>
  <sheetFormatPr defaultRowHeight="15" x14ac:dyDescent="0.25"/>
  <cols>
    <col min="1" max="1" width="42.42578125" bestFit="1" customWidth="1"/>
    <col min="2" max="2" width="17.7109375" bestFit="1" customWidth="1"/>
    <col min="3" max="3" width="16.42578125" bestFit="1" customWidth="1"/>
    <col min="4" max="4" width="15.85546875" bestFit="1" customWidth="1"/>
    <col min="5" max="5" width="74.5703125" bestFit="1" customWidth="1"/>
    <col min="6" max="6" width="15.85546875" bestFit="1" customWidth="1"/>
  </cols>
  <sheetData>
    <row r="1" spans="1:6" x14ac:dyDescent="0.25">
      <c r="A1" s="90" t="s">
        <v>111</v>
      </c>
      <c r="B1" s="90"/>
      <c r="C1" s="90"/>
      <c r="D1" s="90"/>
      <c r="E1" s="90"/>
      <c r="F1" s="90"/>
    </row>
    <row r="2" spans="1:6" x14ac:dyDescent="0.25">
      <c r="A2" s="90"/>
      <c r="B2" s="90"/>
      <c r="C2" s="90"/>
      <c r="D2" s="90"/>
      <c r="E2" s="90"/>
      <c r="F2" s="90"/>
    </row>
    <row r="3" spans="1:6" x14ac:dyDescent="0.25">
      <c r="A3" s="1" t="s">
        <v>25</v>
      </c>
      <c r="B3" s="1" t="s">
        <v>26</v>
      </c>
      <c r="C3" s="1" t="s">
        <v>27</v>
      </c>
      <c r="D3" s="1" t="s">
        <v>1</v>
      </c>
      <c r="E3" s="1" t="s">
        <v>28</v>
      </c>
      <c r="F3" s="1" t="s">
        <v>8</v>
      </c>
    </row>
    <row r="4" spans="1:6" x14ac:dyDescent="0.25">
      <c r="A4" t="s">
        <v>112</v>
      </c>
      <c r="B4">
        <v>2</v>
      </c>
      <c r="C4">
        <v>5</v>
      </c>
      <c r="D4">
        <v>3</v>
      </c>
      <c r="E4" t="s">
        <v>113</v>
      </c>
      <c r="F4" t="s">
        <v>12</v>
      </c>
    </row>
    <row r="5" spans="1:6" x14ac:dyDescent="0.25">
      <c r="A5" t="s">
        <v>114</v>
      </c>
      <c r="B5">
        <v>2</v>
      </c>
      <c r="C5">
        <v>4</v>
      </c>
      <c r="D5">
        <v>2</v>
      </c>
      <c r="E5" t="s">
        <v>115</v>
      </c>
      <c r="F5" t="s">
        <v>116</v>
      </c>
    </row>
    <row r="6" spans="1:6" x14ac:dyDescent="0.25">
      <c r="A6" t="s">
        <v>117</v>
      </c>
      <c r="B6">
        <v>3</v>
      </c>
      <c r="C6">
        <v>5</v>
      </c>
      <c r="D6">
        <v>2</v>
      </c>
      <c r="E6" t="s">
        <v>118</v>
      </c>
      <c r="F6" t="s">
        <v>21</v>
      </c>
    </row>
    <row r="7" spans="1:6" x14ac:dyDescent="0.25">
      <c r="A7" t="s">
        <v>10</v>
      </c>
      <c r="B7">
        <v>2</v>
      </c>
      <c r="C7">
        <v>4</v>
      </c>
      <c r="D7">
        <v>2</v>
      </c>
      <c r="E7" t="s">
        <v>119</v>
      </c>
      <c r="F7" t="s">
        <v>120</v>
      </c>
    </row>
    <row r="8" spans="1:6" x14ac:dyDescent="0.25">
      <c r="A8" t="s">
        <v>121</v>
      </c>
      <c r="B8">
        <v>2</v>
      </c>
      <c r="C8">
        <v>5</v>
      </c>
      <c r="D8">
        <v>3</v>
      </c>
      <c r="E8" t="s">
        <v>122</v>
      </c>
      <c r="F8" t="s">
        <v>51</v>
      </c>
    </row>
    <row r="9" spans="1:6" x14ac:dyDescent="0.25">
      <c r="A9" t="s">
        <v>123</v>
      </c>
      <c r="B9">
        <v>3</v>
      </c>
      <c r="C9">
        <v>4</v>
      </c>
      <c r="D9">
        <v>1</v>
      </c>
      <c r="E9" t="s">
        <v>124</v>
      </c>
      <c r="F9" t="s">
        <v>125</v>
      </c>
    </row>
    <row r="10" spans="1:6" x14ac:dyDescent="0.25">
      <c r="A10" t="s">
        <v>126</v>
      </c>
      <c r="B10">
        <v>2</v>
      </c>
      <c r="C10">
        <v>5</v>
      </c>
      <c r="D10">
        <v>3</v>
      </c>
      <c r="E10" t="s">
        <v>127</v>
      </c>
      <c r="F10" t="s">
        <v>128</v>
      </c>
    </row>
    <row r="11" spans="1:6" x14ac:dyDescent="0.25">
      <c r="A11" t="s">
        <v>129</v>
      </c>
      <c r="B11">
        <v>1</v>
      </c>
      <c r="C11">
        <v>5</v>
      </c>
      <c r="D11">
        <v>4</v>
      </c>
      <c r="E11" t="s">
        <v>130</v>
      </c>
      <c r="F11" t="s">
        <v>16</v>
      </c>
    </row>
    <row r="12" spans="1:6" x14ac:dyDescent="0.25">
      <c r="A12" t="s">
        <v>131</v>
      </c>
      <c r="B12">
        <v>0</v>
      </c>
      <c r="C12">
        <v>5</v>
      </c>
      <c r="D12">
        <v>5</v>
      </c>
      <c r="E12" t="s">
        <v>132</v>
      </c>
      <c r="F12" t="s">
        <v>15</v>
      </c>
    </row>
    <row r="13" spans="1:6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</row>
    <row r="14" spans="1:6" x14ac:dyDescent="0.25">
      <c r="A14" t="s">
        <v>133</v>
      </c>
      <c r="B14">
        <v>2.11</v>
      </c>
      <c r="C14">
        <v>4.5599999999999996</v>
      </c>
      <c r="D14">
        <v>2.44</v>
      </c>
      <c r="E14" t="s">
        <v>53</v>
      </c>
      <c r="F14" t="s">
        <v>0</v>
      </c>
    </row>
    <row r="15" spans="1:6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</row>
    <row r="16" spans="1:6" x14ac:dyDescent="0.25">
      <c r="A16" t="s">
        <v>134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</row>
    <row r="17" spans="1:6" x14ac:dyDescent="0.25">
      <c r="A17" t="s">
        <v>55</v>
      </c>
      <c r="B17" t="s">
        <v>56</v>
      </c>
      <c r="C17" t="s">
        <v>57</v>
      </c>
      <c r="D17" t="s">
        <v>8</v>
      </c>
      <c r="E17" t="s">
        <v>58</v>
      </c>
      <c r="F17" t="s">
        <v>7</v>
      </c>
    </row>
    <row r="18" spans="1:6" x14ac:dyDescent="0.25">
      <c r="A18" t="s">
        <v>135</v>
      </c>
      <c r="B18" t="s">
        <v>60</v>
      </c>
      <c r="C18">
        <v>20</v>
      </c>
      <c r="D18" t="s">
        <v>12</v>
      </c>
      <c r="E18" t="s">
        <v>136</v>
      </c>
      <c r="F18" t="s">
        <v>62</v>
      </c>
    </row>
    <row r="19" spans="1:6" x14ac:dyDescent="0.25">
      <c r="A19" t="s">
        <v>137</v>
      </c>
      <c r="B19" t="s">
        <v>138</v>
      </c>
      <c r="C19">
        <v>40</v>
      </c>
      <c r="D19" t="s">
        <v>116</v>
      </c>
      <c r="E19" t="s">
        <v>139</v>
      </c>
      <c r="F19" t="s">
        <v>70</v>
      </c>
    </row>
    <row r="20" spans="1:6" x14ac:dyDescent="0.25">
      <c r="A20" t="s">
        <v>140</v>
      </c>
      <c r="B20" t="s">
        <v>60</v>
      </c>
      <c r="C20">
        <v>25</v>
      </c>
      <c r="D20" t="s">
        <v>15</v>
      </c>
      <c r="E20" t="s">
        <v>141</v>
      </c>
      <c r="F20" t="s">
        <v>67</v>
      </c>
    </row>
    <row r="21" spans="1:6" x14ac:dyDescent="0.25">
      <c r="A21" t="s">
        <v>142</v>
      </c>
      <c r="B21" t="s">
        <v>77</v>
      </c>
      <c r="C21">
        <v>30</v>
      </c>
      <c r="D21" t="s">
        <v>120</v>
      </c>
      <c r="E21" t="s">
        <v>143</v>
      </c>
      <c r="F21" t="s">
        <v>75</v>
      </c>
    </row>
    <row r="22" spans="1:6" x14ac:dyDescent="0.25">
      <c r="A22" t="s">
        <v>144</v>
      </c>
      <c r="B22" t="s">
        <v>138</v>
      </c>
      <c r="C22">
        <v>25</v>
      </c>
      <c r="D22" t="s">
        <v>21</v>
      </c>
      <c r="E22" t="s">
        <v>145</v>
      </c>
      <c r="F22" t="s">
        <v>75</v>
      </c>
    </row>
    <row r="23" spans="1:6" x14ac:dyDescent="0.25">
      <c r="A23" t="s">
        <v>146</v>
      </c>
      <c r="B23" t="s">
        <v>60</v>
      </c>
      <c r="C23">
        <v>15</v>
      </c>
      <c r="D23" t="s">
        <v>51</v>
      </c>
      <c r="E23" t="s">
        <v>147</v>
      </c>
      <c r="F23" t="s">
        <v>62</v>
      </c>
    </row>
    <row r="24" spans="1:6" x14ac:dyDescent="0.25">
      <c r="A24" t="s">
        <v>148</v>
      </c>
      <c r="B24" t="s">
        <v>60</v>
      </c>
      <c r="C24">
        <v>20</v>
      </c>
      <c r="D24" t="s">
        <v>16</v>
      </c>
      <c r="E24" t="s">
        <v>149</v>
      </c>
      <c r="F24" t="s">
        <v>75</v>
      </c>
    </row>
    <row r="25" spans="1:6" x14ac:dyDescent="0.25">
      <c r="A25" t="s">
        <v>150</v>
      </c>
      <c r="B25" t="s">
        <v>138</v>
      </c>
      <c r="C25">
        <v>30</v>
      </c>
      <c r="D25" t="s">
        <v>15</v>
      </c>
      <c r="E25" t="s">
        <v>151</v>
      </c>
      <c r="F25" t="s">
        <v>75</v>
      </c>
    </row>
    <row r="26" spans="1:6" x14ac:dyDescent="0.25">
      <c r="A26" t="s">
        <v>152</v>
      </c>
      <c r="B26" t="s">
        <v>77</v>
      </c>
      <c r="C26">
        <v>25</v>
      </c>
      <c r="D26" t="s">
        <v>19</v>
      </c>
      <c r="E26" t="s">
        <v>153</v>
      </c>
      <c r="F26" t="s">
        <v>75</v>
      </c>
    </row>
    <row r="27" spans="1:6" x14ac:dyDescent="0.2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</row>
    <row r="28" spans="1:6" x14ac:dyDescent="0.25">
      <c r="A28" t="s">
        <v>154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</row>
    <row r="29" spans="1:6" x14ac:dyDescent="0.25">
      <c r="A29" t="s">
        <v>6</v>
      </c>
      <c r="B29" t="s">
        <v>85</v>
      </c>
      <c r="C29" t="s">
        <v>86</v>
      </c>
      <c r="D29" t="s">
        <v>87</v>
      </c>
      <c r="E29" t="s">
        <v>88</v>
      </c>
      <c r="F29" t="s">
        <v>8</v>
      </c>
    </row>
    <row r="30" spans="1:6" x14ac:dyDescent="0.25">
      <c r="A30" t="s">
        <v>155</v>
      </c>
      <c r="B30" t="s">
        <v>18</v>
      </c>
      <c r="C30" t="s">
        <v>102</v>
      </c>
      <c r="D30" t="s">
        <v>104</v>
      </c>
      <c r="E30" t="s">
        <v>104</v>
      </c>
      <c r="F30" t="s">
        <v>12</v>
      </c>
    </row>
    <row r="31" spans="1:6" x14ac:dyDescent="0.25">
      <c r="A31" t="s">
        <v>156</v>
      </c>
      <c r="B31">
        <v>12</v>
      </c>
      <c r="C31">
        <v>10</v>
      </c>
      <c r="D31">
        <v>8</v>
      </c>
      <c r="E31">
        <v>7</v>
      </c>
      <c r="F31" t="s">
        <v>12</v>
      </c>
    </row>
    <row r="32" spans="1:6" x14ac:dyDescent="0.25">
      <c r="A32" t="s">
        <v>157</v>
      </c>
      <c r="B32" t="s">
        <v>94</v>
      </c>
      <c r="C32" t="s">
        <v>102</v>
      </c>
      <c r="D32" t="s">
        <v>103</v>
      </c>
      <c r="E32" t="s">
        <v>158</v>
      </c>
      <c r="F32" t="s">
        <v>116</v>
      </c>
    </row>
    <row r="33" spans="1:6" x14ac:dyDescent="0.25">
      <c r="A33" t="s">
        <v>159</v>
      </c>
      <c r="B33" t="s">
        <v>160</v>
      </c>
      <c r="C33" t="s">
        <v>92</v>
      </c>
      <c r="D33" t="s">
        <v>104</v>
      </c>
      <c r="E33" t="s">
        <v>104</v>
      </c>
      <c r="F33" t="s">
        <v>51</v>
      </c>
    </row>
    <row r="34" spans="1:6" x14ac:dyDescent="0.25">
      <c r="A34" t="s">
        <v>161</v>
      </c>
      <c r="B34">
        <v>5</v>
      </c>
      <c r="C34">
        <v>15</v>
      </c>
      <c r="D34">
        <v>25</v>
      </c>
      <c r="E34">
        <v>30</v>
      </c>
      <c r="F34" t="s">
        <v>21</v>
      </c>
    </row>
    <row r="35" spans="1:6" x14ac:dyDescent="0.25">
      <c r="A35" t="s">
        <v>162</v>
      </c>
      <c r="B35" t="s">
        <v>163</v>
      </c>
      <c r="C35" t="s">
        <v>11</v>
      </c>
      <c r="D35" t="s">
        <v>104</v>
      </c>
      <c r="E35" t="s">
        <v>104</v>
      </c>
      <c r="F35" t="s">
        <v>15</v>
      </c>
    </row>
    <row r="36" spans="1:6" x14ac:dyDescent="0.25">
      <c r="A36" t="s">
        <v>164</v>
      </c>
      <c r="B36" t="s">
        <v>90</v>
      </c>
      <c r="C36" t="s">
        <v>165</v>
      </c>
      <c r="D36" t="s">
        <v>102</v>
      </c>
      <c r="E36" t="s">
        <v>103</v>
      </c>
      <c r="F36" t="s">
        <v>16</v>
      </c>
    </row>
    <row r="37" spans="1:6" x14ac:dyDescent="0.25">
      <c r="A37" t="s">
        <v>166</v>
      </c>
      <c r="B37" t="s">
        <v>91</v>
      </c>
      <c r="C37" t="s">
        <v>103</v>
      </c>
      <c r="D37" t="s">
        <v>104</v>
      </c>
      <c r="E37" t="s">
        <v>104</v>
      </c>
      <c r="F37" t="s">
        <v>51</v>
      </c>
    </row>
  </sheetData>
  <mergeCells count="1">
    <mergeCell ref="A1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CCDD-7D02-486C-9382-6F4F74FB039E}">
  <dimension ref="A1:F37"/>
  <sheetViews>
    <sheetView zoomScale="130" zoomScaleNormal="130" workbookViewId="0">
      <selection activeCell="A29" sqref="A29:F29"/>
    </sheetView>
  </sheetViews>
  <sheetFormatPr defaultRowHeight="15" x14ac:dyDescent="0.25"/>
  <cols>
    <col min="1" max="1" width="52" bestFit="1" customWidth="1"/>
    <col min="2" max="2" width="17.7109375" bestFit="1" customWidth="1"/>
    <col min="3" max="3" width="16.42578125" bestFit="1" customWidth="1"/>
    <col min="4" max="4" width="12.7109375" bestFit="1" customWidth="1"/>
    <col min="5" max="5" width="76.85546875" bestFit="1" customWidth="1"/>
    <col min="6" max="6" width="12.7109375" bestFit="1" customWidth="1"/>
  </cols>
  <sheetData>
    <row r="1" spans="1:6" x14ac:dyDescent="0.25">
      <c r="A1" s="91" t="s">
        <v>167</v>
      </c>
      <c r="B1" s="91"/>
      <c r="C1" s="91"/>
      <c r="D1" s="91"/>
      <c r="E1" s="91"/>
      <c r="F1" s="91"/>
    </row>
    <row r="2" spans="1:6" x14ac:dyDescent="0.25">
      <c r="A2" s="91"/>
      <c r="B2" s="91"/>
      <c r="C2" s="91"/>
      <c r="D2" s="91"/>
      <c r="E2" s="91"/>
      <c r="F2" s="91"/>
    </row>
    <row r="3" spans="1:6" x14ac:dyDescent="0.25">
      <c r="A3" s="2" t="s">
        <v>25</v>
      </c>
      <c r="B3" s="2" t="s">
        <v>26</v>
      </c>
      <c r="C3" s="2" t="s">
        <v>27</v>
      </c>
      <c r="D3" s="2" t="s">
        <v>1</v>
      </c>
      <c r="E3" s="2" t="s">
        <v>28</v>
      </c>
      <c r="F3" s="2" t="s">
        <v>8</v>
      </c>
    </row>
    <row r="4" spans="1:6" x14ac:dyDescent="0.25">
      <c r="A4" t="s">
        <v>168</v>
      </c>
      <c r="B4">
        <v>2</v>
      </c>
      <c r="C4">
        <v>5</v>
      </c>
      <c r="D4">
        <v>3</v>
      </c>
      <c r="E4" t="s">
        <v>169</v>
      </c>
      <c r="F4" t="s">
        <v>13</v>
      </c>
    </row>
    <row r="5" spans="1:6" x14ac:dyDescent="0.25">
      <c r="A5" t="s">
        <v>170</v>
      </c>
      <c r="B5">
        <v>2</v>
      </c>
      <c r="C5">
        <v>5</v>
      </c>
      <c r="D5">
        <v>3</v>
      </c>
      <c r="E5" t="s">
        <v>171</v>
      </c>
      <c r="F5" t="s">
        <v>19</v>
      </c>
    </row>
    <row r="6" spans="1:6" x14ac:dyDescent="0.25">
      <c r="A6" t="s">
        <v>172</v>
      </c>
      <c r="B6">
        <v>1</v>
      </c>
      <c r="C6">
        <v>5</v>
      </c>
      <c r="D6">
        <v>4</v>
      </c>
      <c r="E6" t="s">
        <v>173</v>
      </c>
      <c r="F6" t="s">
        <v>19</v>
      </c>
    </row>
    <row r="7" spans="1:6" x14ac:dyDescent="0.25">
      <c r="A7" t="s">
        <v>174</v>
      </c>
      <c r="B7">
        <v>1</v>
      </c>
      <c r="C7">
        <v>5</v>
      </c>
      <c r="D7">
        <v>4</v>
      </c>
      <c r="E7" t="s">
        <v>175</v>
      </c>
      <c r="F7" t="s">
        <v>23</v>
      </c>
    </row>
    <row r="8" spans="1:6" x14ac:dyDescent="0.25">
      <c r="A8" t="s">
        <v>176</v>
      </c>
      <c r="B8">
        <v>2</v>
      </c>
      <c r="C8">
        <v>4</v>
      </c>
      <c r="D8">
        <v>2</v>
      </c>
      <c r="E8" t="s">
        <v>177</v>
      </c>
      <c r="F8" t="s">
        <v>178</v>
      </c>
    </row>
    <row r="9" spans="1:6" x14ac:dyDescent="0.25">
      <c r="A9" t="s">
        <v>179</v>
      </c>
      <c r="B9">
        <v>3</v>
      </c>
      <c r="C9">
        <v>5</v>
      </c>
      <c r="D9">
        <v>2</v>
      </c>
      <c r="E9" t="s">
        <v>180</v>
      </c>
      <c r="F9" t="s">
        <v>181</v>
      </c>
    </row>
    <row r="10" spans="1:6" x14ac:dyDescent="0.25">
      <c r="A10" t="s">
        <v>182</v>
      </c>
      <c r="B10">
        <v>1</v>
      </c>
      <c r="C10">
        <v>4</v>
      </c>
      <c r="D10">
        <v>3</v>
      </c>
      <c r="E10" t="s">
        <v>183</v>
      </c>
      <c r="F10" t="s">
        <v>23</v>
      </c>
    </row>
    <row r="11" spans="1:6" x14ac:dyDescent="0.25">
      <c r="A11" t="s">
        <v>22</v>
      </c>
      <c r="B11">
        <v>0</v>
      </c>
      <c r="C11">
        <v>5</v>
      </c>
      <c r="D11">
        <v>5</v>
      </c>
      <c r="E11" t="s">
        <v>184</v>
      </c>
      <c r="F11" t="s">
        <v>19</v>
      </c>
    </row>
    <row r="12" spans="1:6" x14ac:dyDescent="0.25">
      <c r="A12" t="s">
        <v>185</v>
      </c>
      <c r="B12">
        <v>2</v>
      </c>
      <c r="C12">
        <v>4</v>
      </c>
      <c r="D12">
        <v>2</v>
      </c>
      <c r="E12" t="s">
        <v>186</v>
      </c>
      <c r="F12" t="s">
        <v>125</v>
      </c>
    </row>
    <row r="13" spans="1:6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</row>
    <row r="14" spans="1:6" x14ac:dyDescent="0.25">
      <c r="A14" t="s">
        <v>187</v>
      </c>
      <c r="B14">
        <v>1.56</v>
      </c>
      <c r="C14">
        <v>4.67</v>
      </c>
      <c r="D14">
        <v>3.11</v>
      </c>
      <c r="E14" t="s">
        <v>53</v>
      </c>
      <c r="F14" t="s">
        <v>0</v>
      </c>
    </row>
    <row r="15" spans="1:6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</row>
    <row r="16" spans="1:6" x14ac:dyDescent="0.25">
      <c r="A16" s="2" t="s">
        <v>188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</row>
    <row r="17" spans="1:6" x14ac:dyDescent="0.25">
      <c r="A17" s="3" t="s">
        <v>55</v>
      </c>
      <c r="B17" s="3" t="s">
        <v>56</v>
      </c>
      <c r="C17" s="3" t="s">
        <v>57</v>
      </c>
      <c r="D17" s="3" t="s">
        <v>8</v>
      </c>
      <c r="E17" s="3" t="s">
        <v>58</v>
      </c>
      <c r="F17" s="3" t="s">
        <v>7</v>
      </c>
    </row>
    <row r="18" spans="1:6" x14ac:dyDescent="0.25">
      <c r="A18" t="s">
        <v>189</v>
      </c>
      <c r="B18" t="s">
        <v>138</v>
      </c>
      <c r="C18">
        <v>100</v>
      </c>
      <c r="D18" t="s">
        <v>13</v>
      </c>
      <c r="E18" t="s">
        <v>190</v>
      </c>
      <c r="F18" t="s">
        <v>62</v>
      </c>
    </row>
    <row r="19" spans="1:6" x14ac:dyDescent="0.25">
      <c r="A19" t="s">
        <v>191</v>
      </c>
      <c r="B19" t="s">
        <v>82</v>
      </c>
      <c r="C19">
        <v>80</v>
      </c>
      <c r="D19" t="s">
        <v>19</v>
      </c>
      <c r="E19" t="s">
        <v>192</v>
      </c>
      <c r="F19" t="s">
        <v>75</v>
      </c>
    </row>
    <row r="20" spans="1:6" x14ac:dyDescent="0.25">
      <c r="A20" t="s">
        <v>193</v>
      </c>
      <c r="B20" t="s">
        <v>82</v>
      </c>
      <c r="C20">
        <v>70</v>
      </c>
      <c r="D20" t="s">
        <v>19</v>
      </c>
      <c r="E20" t="s">
        <v>194</v>
      </c>
      <c r="F20" t="s">
        <v>75</v>
      </c>
    </row>
    <row r="21" spans="1:6" x14ac:dyDescent="0.25">
      <c r="A21" t="s">
        <v>195</v>
      </c>
      <c r="B21" t="s">
        <v>60</v>
      </c>
      <c r="C21">
        <v>35</v>
      </c>
      <c r="D21" t="s">
        <v>181</v>
      </c>
      <c r="E21" t="s">
        <v>196</v>
      </c>
      <c r="F21" t="s">
        <v>67</v>
      </c>
    </row>
    <row r="22" spans="1:6" x14ac:dyDescent="0.25">
      <c r="A22" t="s">
        <v>197</v>
      </c>
      <c r="B22" t="s">
        <v>77</v>
      </c>
      <c r="C22">
        <v>25</v>
      </c>
      <c r="D22" t="s">
        <v>23</v>
      </c>
      <c r="E22" t="s">
        <v>198</v>
      </c>
      <c r="F22" t="s">
        <v>75</v>
      </c>
    </row>
    <row r="23" spans="1:6" x14ac:dyDescent="0.25">
      <c r="A23" t="s">
        <v>199</v>
      </c>
      <c r="B23" t="s">
        <v>82</v>
      </c>
      <c r="C23">
        <v>30</v>
      </c>
      <c r="D23" t="s">
        <v>19</v>
      </c>
      <c r="E23" t="s">
        <v>200</v>
      </c>
      <c r="F23" t="s">
        <v>75</v>
      </c>
    </row>
    <row r="24" spans="1:6" x14ac:dyDescent="0.25">
      <c r="A24" t="s">
        <v>201</v>
      </c>
      <c r="B24" t="s">
        <v>77</v>
      </c>
      <c r="C24">
        <v>40</v>
      </c>
      <c r="D24" t="s">
        <v>178</v>
      </c>
      <c r="E24" t="s">
        <v>202</v>
      </c>
      <c r="F24" t="s">
        <v>75</v>
      </c>
    </row>
    <row r="25" spans="1:6" x14ac:dyDescent="0.25">
      <c r="A25" t="s">
        <v>203</v>
      </c>
      <c r="B25" t="s">
        <v>138</v>
      </c>
      <c r="C25">
        <v>25</v>
      </c>
      <c r="D25" t="s">
        <v>13</v>
      </c>
      <c r="E25" t="s">
        <v>204</v>
      </c>
      <c r="F25" t="s">
        <v>75</v>
      </c>
    </row>
    <row r="26" spans="1:6" x14ac:dyDescent="0.25">
      <c r="A26" t="s">
        <v>205</v>
      </c>
      <c r="B26" t="s">
        <v>60</v>
      </c>
      <c r="C26">
        <v>15</v>
      </c>
      <c r="D26" t="s">
        <v>125</v>
      </c>
      <c r="E26" t="s">
        <v>206</v>
      </c>
      <c r="F26" t="s">
        <v>75</v>
      </c>
    </row>
    <row r="27" spans="1:6" x14ac:dyDescent="0.2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</row>
    <row r="28" spans="1:6" x14ac:dyDescent="0.25">
      <c r="A28" s="2" t="s">
        <v>207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</row>
    <row r="29" spans="1:6" x14ac:dyDescent="0.25">
      <c r="A29" s="4" t="s">
        <v>6</v>
      </c>
      <c r="B29" s="4" t="s">
        <v>85</v>
      </c>
      <c r="C29" s="4" t="s">
        <v>86</v>
      </c>
      <c r="D29" s="4" t="s">
        <v>87</v>
      </c>
      <c r="E29" s="4" t="s">
        <v>88</v>
      </c>
      <c r="F29" s="4" t="s">
        <v>8</v>
      </c>
    </row>
    <row r="30" spans="1:6" x14ac:dyDescent="0.25">
      <c r="A30" t="s">
        <v>208</v>
      </c>
      <c r="B30" t="s">
        <v>209</v>
      </c>
      <c r="C30" t="s">
        <v>94</v>
      </c>
      <c r="D30" t="s">
        <v>92</v>
      </c>
      <c r="E30" t="s">
        <v>158</v>
      </c>
      <c r="F30" t="s">
        <v>13</v>
      </c>
    </row>
    <row r="31" spans="1:6" x14ac:dyDescent="0.25">
      <c r="A31" t="s">
        <v>210</v>
      </c>
      <c r="B31">
        <v>2</v>
      </c>
      <c r="C31">
        <v>3.5</v>
      </c>
      <c r="D31">
        <v>4.5</v>
      </c>
      <c r="E31">
        <v>5</v>
      </c>
      <c r="F31" t="s">
        <v>19</v>
      </c>
    </row>
    <row r="32" spans="1:6" x14ac:dyDescent="0.25">
      <c r="A32" t="s">
        <v>211</v>
      </c>
      <c r="B32" t="s">
        <v>160</v>
      </c>
      <c r="C32" t="s">
        <v>212</v>
      </c>
      <c r="D32" t="s">
        <v>102</v>
      </c>
      <c r="E32" t="s">
        <v>92</v>
      </c>
      <c r="F32" t="s">
        <v>19</v>
      </c>
    </row>
    <row r="33" spans="1:6" x14ac:dyDescent="0.25">
      <c r="A33" t="s">
        <v>213</v>
      </c>
      <c r="B33" t="s">
        <v>214</v>
      </c>
      <c r="C33" t="s">
        <v>158</v>
      </c>
      <c r="D33" t="s">
        <v>215</v>
      </c>
      <c r="E33" t="s">
        <v>216</v>
      </c>
      <c r="F33" t="s">
        <v>23</v>
      </c>
    </row>
    <row r="34" spans="1:6" x14ac:dyDescent="0.25">
      <c r="A34" t="s">
        <v>217</v>
      </c>
      <c r="B34" t="s">
        <v>11</v>
      </c>
      <c r="C34" t="s">
        <v>94</v>
      </c>
      <c r="D34" t="s">
        <v>92</v>
      </c>
      <c r="E34" t="s">
        <v>103</v>
      </c>
      <c r="F34" t="s">
        <v>178</v>
      </c>
    </row>
    <row r="35" spans="1:6" x14ac:dyDescent="0.25">
      <c r="A35" t="s">
        <v>218</v>
      </c>
      <c r="B35" t="s">
        <v>163</v>
      </c>
      <c r="C35" t="s">
        <v>219</v>
      </c>
      <c r="D35" t="s">
        <v>160</v>
      </c>
      <c r="E35" t="s">
        <v>104</v>
      </c>
      <c r="F35" t="s">
        <v>19</v>
      </c>
    </row>
    <row r="36" spans="1:6" x14ac:dyDescent="0.25">
      <c r="A36" t="s">
        <v>220</v>
      </c>
      <c r="B36" t="s">
        <v>18</v>
      </c>
      <c r="C36" t="s">
        <v>102</v>
      </c>
      <c r="D36" t="s">
        <v>104</v>
      </c>
      <c r="E36" t="s">
        <v>104</v>
      </c>
      <c r="F36" t="s">
        <v>181</v>
      </c>
    </row>
    <row r="37" spans="1:6" x14ac:dyDescent="0.25">
      <c r="A37" t="s">
        <v>221</v>
      </c>
      <c r="B37" t="s">
        <v>222</v>
      </c>
      <c r="C37" t="s">
        <v>90</v>
      </c>
      <c r="D37" t="s">
        <v>94</v>
      </c>
      <c r="E37" t="s">
        <v>103</v>
      </c>
      <c r="F37" t="s">
        <v>23</v>
      </c>
    </row>
  </sheetData>
  <mergeCells count="1">
    <mergeCell ref="A1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4E2D-9ACE-4F5A-9C9C-1C816C3964BD}">
  <dimension ref="A1:F38"/>
  <sheetViews>
    <sheetView workbookViewId="0">
      <selection activeCell="A29" sqref="A29"/>
    </sheetView>
  </sheetViews>
  <sheetFormatPr defaultRowHeight="15" x14ac:dyDescent="0.25"/>
  <cols>
    <col min="1" max="1" width="37.5703125" bestFit="1" customWidth="1"/>
    <col min="2" max="2" width="17.7109375" bestFit="1" customWidth="1"/>
    <col min="3" max="3" width="16.42578125" bestFit="1" customWidth="1"/>
    <col min="4" max="4" width="17.5703125" bestFit="1" customWidth="1"/>
    <col min="5" max="5" width="77" bestFit="1" customWidth="1"/>
    <col min="6" max="6" width="17.5703125" bestFit="1" customWidth="1"/>
  </cols>
  <sheetData>
    <row r="1" spans="1:6" x14ac:dyDescent="0.25">
      <c r="A1" s="92" t="s">
        <v>223</v>
      </c>
      <c r="B1" s="92"/>
      <c r="C1" s="92"/>
      <c r="D1" s="92"/>
      <c r="E1" s="92"/>
      <c r="F1" s="92"/>
    </row>
    <row r="2" spans="1:6" x14ac:dyDescent="0.25">
      <c r="A2" s="92"/>
      <c r="B2" s="92"/>
      <c r="C2" s="92"/>
      <c r="D2" s="92"/>
      <c r="E2" s="92"/>
      <c r="F2" s="92"/>
    </row>
    <row r="3" spans="1:6" x14ac:dyDescent="0.25">
      <c r="A3" s="5" t="s">
        <v>25</v>
      </c>
      <c r="B3" s="5" t="s">
        <v>26</v>
      </c>
      <c r="C3" s="5" t="s">
        <v>27</v>
      </c>
      <c r="D3" s="5" t="s">
        <v>1</v>
      </c>
      <c r="E3" s="5" t="s">
        <v>28</v>
      </c>
      <c r="F3" s="5" t="s">
        <v>8</v>
      </c>
    </row>
    <row r="4" spans="1:6" x14ac:dyDescent="0.25">
      <c r="A4" t="s">
        <v>224</v>
      </c>
      <c r="B4">
        <v>0</v>
      </c>
      <c r="C4">
        <v>5</v>
      </c>
      <c r="D4">
        <v>5</v>
      </c>
      <c r="E4" t="s">
        <v>225</v>
      </c>
      <c r="F4" t="s">
        <v>19</v>
      </c>
    </row>
    <row r="5" spans="1:6" x14ac:dyDescent="0.25">
      <c r="A5" t="s">
        <v>20</v>
      </c>
      <c r="B5">
        <v>1</v>
      </c>
      <c r="C5">
        <v>5</v>
      </c>
      <c r="D5">
        <v>4</v>
      </c>
      <c r="E5" t="s">
        <v>226</v>
      </c>
      <c r="F5" t="s">
        <v>19</v>
      </c>
    </row>
    <row r="6" spans="1:6" x14ac:dyDescent="0.25">
      <c r="A6" t="s">
        <v>227</v>
      </c>
      <c r="B6">
        <v>0</v>
      </c>
      <c r="C6">
        <v>5</v>
      </c>
      <c r="D6">
        <v>5</v>
      </c>
      <c r="E6" t="s">
        <v>228</v>
      </c>
      <c r="F6" t="s">
        <v>229</v>
      </c>
    </row>
    <row r="7" spans="1:6" x14ac:dyDescent="0.25">
      <c r="A7" t="s">
        <v>230</v>
      </c>
      <c r="B7">
        <v>0</v>
      </c>
      <c r="C7">
        <v>5</v>
      </c>
      <c r="D7">
        <v>5</v>
      </c>
      <c r="E7" t="s">
        <v>231</v>
      </c>
      <c r="F7" t="s">
        <v>232</v>
      </c>
    </row>
    <row r="8" spans="1:6" x14ac:dyDescent="0.25">
      <c r="A8" t="s">
        <v>233</v>
      </c>
      <c r="B8">
        <v>2</v>
      </c>
      <c r="C8">
        <v>5</v>
      </c>
      <c r="D8">
        <v>3</v>
      </c>
      <c r="E8" t="s">
        <v>234</v>
      </c>
      <c r="F8" t="s">
        <v>128</v>
      </c>
    </row>
    <row r="9" spans="1:6" x14ac:dyDescent="0.25">
      <c r="A9" t="s">
        <v>235</v>
      </c>
      <c r="B9">
        <v>3</v>
      </c>
      <c r="C9">
        <v>5</v>
      </c>
      <c r="D9">
        <v>2</v>
      </c>
      <c r="E9" t="s">
        <v>236</v>
      </c>
      <c r="F9" t="s">
        <v>237</v>
      </c>
    </row>
    <row r="10" spans="1:6" x14ac:dyDescent="0.25">
      <c r="A10" t="s">
        <v>238</v>
      </c>
      <c r="B10">
        <v>0</v>
      </c>
      <c r="C10">
        <v>5</v>
      </c>
      <c r="D10">
        <v>5</v>
      </c>
      <c r="E10" t="s">
        <v>239</v>
      </c>
      <c r="F10" t="s">
        <v>19</v>
      </c>
    </row>
    <row r="11" spans="1:6" x14ac:dyDescent="0.25">
      <c r="A11" t="s">
        <v>240</v>
      </c>
      <c r="B11">
        <v>1</v>
      </c>
      <c r="C11">
        <v>5</v>
      </c>
      <c r="D11">
        <v>4</v>
      </c>
      <c r="E11" t="s">
        <v>241</v>
      </c>
      <c r="F11" t="s">
        <v>125</v>
      </c>
    </row>
    <row r="12" spans="1:6" x14ac:dyDescent="0.25">
      <c r="A12" t="s">
        <v>242</v>
      </c>
      <c r="B12">
        <v>1</v>
      </c>
      <c r="C12">
        <v>5</v>
      </c>
      <c r="D12">
        <v>4</v>
      </c>
      <c r="E12" t="s">
        <v>243</v>
      </c>
      <c r="F12" t="s">
        <v>128</v>
      </c>
    </row>
    <row r="13" spans="1:6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</row>
    <row r="14" spans="1:6" x14ac:dyDescent="0.25">
      <c r="A14" t="s">
        <v>244</v>
      </c>
      <c r="B14">
        <v>0.89</v>
      </c>
      <c r="C14">
        <v>5</v>
      </c>
      <c r="D14">
        <v>4.1100000000000003</v>
      </c>
      <c r="E14" t="s">
        <v>245</v>
      </c>
      <c r="F14" t="s">
        <v>0</v>
      </c>
    </row>
    <row r="15" spans="1:6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</row>
    <row r="16" spans="1:6" x14ac:dyDescent="0.25">
      <c r="A16" s="5" t="s">
        <v>246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</row>
    <row r="17" spans="1:6" x14ac:dyDescent="0.25">
      <c r="A17" t="s">
        <v>55</v>
      </c>
      <c r="B17" t="s">
        <v>56</v>
      </c>
      <c r="C17" t="s">
        <v>57</v>
      </c>
      <c r="D17" t="s">
        <v>8</v>
      </c>
      <c r="E17" t="s">
        <v>58</v>
      </c>
      <c r="F17" t="s">
        <v>7</v>
      </c>
    </row>
    <row r="18" spans="1:6" x14ac:dyDescent="0.25">
      <c r="A18" t="s">
        <v>247</v>
      </c>
      <c r="B18" t="s">
        <v>60</v>
      </c>
      <c r="C18">
        <v>15</v>
      </c>
      <c r="D18" t="s">
        <v>229</v>
      </c>
      <c r="E18" t="s">
        <v>248</v>
      </c>
      <c r="F18" t="s">
        <v>62</v>
      </c>
    </row>
    <row r="19" spans="1:6" x14ac:dyDescent="0.25">
      <c r="A19" t="s">
        <v>249</v>
      </c>
      <c r="B19" t="s">
        <v>138</v>
      </c>
      <c r="C19">
        <v>30</v>
      </c>
      <c r="D19" t="s">
        <v>19</v>
      </c>
      <c r="E19" t="s">
        <v>250</v>
      </c>
      <c r="F19" t="s">
        <v>75</v>
      </c>
    </row>
    <row r="20" spans="1:6" x14ac:dyDescent="0.25">
      <c r="A20" t="s">
        <v>251</v>
      </c>
      <c r="B20" t="s">
        <v>138</v>
      </c>
      <c r="C20">
        <v>25</v>
      </c>
      <c r="D20" t="s">
        <v>19</v>
      </c>
      <c r="E20" t="s">
        <v>252</v>
      </c>
      <c r="F20" t="s">
        <v>75</v>
      </c>
    </row>
    <row r="21" spans="1:6" x14ac:dyDescent="0.25">
      <c r="A21" t="s">
        <v>253</v>
      </c>
      <c r="B21" t="s">
        <v>60</v>
      </c>
      <c r="C21">
        <v>15</v>
      </c>
      <c r="D21" t="s">
        <v>15</v>
      </c>
      <c r="E21" t="s">
        <v>254</v>
      </c>
      <c r="F21" t="s">
        <v>75</v>
      </c>
    </row>
    <row r="22" spans="1:6" x14ac:dyDescent="0.25">
      <c r="A22" t="s">
        <v>255</v>
      </c>
      <c r="B22" t="s">
        <v>60</v>
      </c>
      <c r="C22">
        <v>20</v>
      </c>
      <c r="D22" t="s">
        <v>128</v>
      </c>
      <c r="E22" t="s">
        <v>256</v>
      </c>
      <c r="F22" t="s">
        <v>62</v>
      </c>
    </row>
    <row r="23" spans="1:6" x14ac:dyDescent="0.25">
      <c r="A23" t="s">
        <v>257</v>
      </c>
      <c r="B23" t="s">
        <v>60</v>
      </c>
      <c r="C23">
        <v>15</v>
      </c>
      <c r="D23" t="s">
        <v>237</v>
      </c>
      <c r="E23" t="s">
        <v>258</v>
      </c>
      <c r="F23" t="s">
        <v>75</v>
      </c>
    </row>
    <row r="24" spans="1:6" x14ac:dyDescent="0.25">
      <c r="A24" t="s">
        <v>259</v>
      </c>
      <c r="B24" t="s">
        <v>77</v>
      </c>
      <c r="C24">
        <v>20</v>
      </c>
      <c r="D24" t="s">
        <v>19</v>
      </c>
      <c r="E24" t="s">
        <v>260</v>
      </c>
      <c r="F24" t="s">
        <v>75</v>
      </c>
    </row>
    <row r="25" spans="1:6" x14ac:dyDescent="0.25">
      <c r="A25" t="s">
        <v>261</v>
      </c>
      <c r="B25" t="s">
        <v>82</v>
      </c>
      <c r="C25">
        <v>30</v>
      </c>
      <c r="D25" t="s">
        <v>232</v>
      </c>
      <c r="E25" t="s">
        <v>262</v>
      </c>
      <c r="F25" t="s">
        <v>75</v>
      </c>
    </row>
    <row r="26" spans="1:6" x14ac:dyDescent="0.25">
      <c r="A26" t="s">
        <v>263</v>
      </c>
      <c r="B26" t="s">
        <v>138</v>
      </c>
      <c r="C26">
        <v>20</v>
      </c>
      <c r="D26" t="s">
        <v>125</v>
      </c>
      <c r="E26" t="s">
        <v>264</v>
      </c>
      <c r="F26" t="s">
        <v>75</v>
      </c>
    </row>
    <row r="27" spans="1:6" x14ac:dyDescent="0.25">
      <c r="A27" t="s">
        <v>265</v>
      </c>
      <c r="B27" t="s">
        <v>60</v>
      </c>
      <c r="C27">
        <v>15</v>
      </c>
      <c r="D27" t="s">
        <v>128</v>
      </c>
      <c r="E27" t="s">
        <v>266</v>
      </c>
      <c r="F27" t="s">
        <v>75</v>
      </c>
    </row>
    <row r="28" spans="1:6" x14ac:dyDescent="0.2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</row>
    <row r="29" spans="1:6" x14ac:dyDescent="0.25">
      <c r="A29" s="5" t="s">
        <v>267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</row>
    <row r="30" spans="1:6" x14ac:dyDescent="0.25">
      <c r="A30" t="s">
        <v>6</v>
      </c>
      <c r="B30" t="s">
        <v>85</v>
      </c>
      <c r="C30" t="s">
        <v>86</v>
      </c>
      <c r="D30" t="s">
        <v>87</v>
      </c>
      <c r="E30" t="s">
        <v>88</v>
      </c>
      <c r="F30" t="s">
        <v>8</v>
      </c>
    </row>
    <row r="31" spans="1:6" x14ac:dyDescent="0.25">
      <c r="A31" t="s">
        <v>268</v>
      </c>
      <c r="B31" t="s">
        <v>163</v>
      </c>
      <c r="C31" t="s">
        <v>219</v>
      </c>
      <c r="D31" t="s">
        <v>160</v>
      </c>
      <c r="E31" t="s">
        <v>104</v>
      </c>
      <c r="F31" t="s">
        <v>15</v>
      </c>
    </row>
    <row r="32" spans="1:6" x14ac:dyDescent="0.25">
      <c r="A32" t="s">
        <v>269</v>
      </c>
      <c r="B32" t="s">
        <v>163</v>
      </c>
      <c r="C32" t="s">
        <v>14</v>
      </c>
      <c r="D32" t="s">
        <v>18</v>
      </c>
      <c r="E32" t="s">
        <v>104</v>
      </c>
      <c r="F32" t="s">
        <v>19</v>
      </c>
    </row>
    <row r="33" spans="1:6" x14ac:dyDescent="0.25">
      <c r="A33" t="s">
        <v>270</v>
      </c>
      <c r="B33" t="s">
        <v>163</v>
      </c>
      <c r="C33" t="s">
        <v>90</v>
      </c>
      <c r="D33" t="s">
        <v>91</v>
      </c>
      <c r="E33" t="s">
        <v>104</v>
      </c>
      <c r="F33" t="s">
        <v>19</v>
      </c>
    </row>
    <row r="34" spans="1:6" x14ac:dyDescent="0.25">
      <c r="A34" t="s">
        <v>271</v>
      </c>
      <c r="B34" t="s">
        <v>222</v>
      </c>
      <c r="C34" t="s">
        <v>90</v>
      </c>
      <c r="D34" t="s">
        <v>160</v>
      </c>
      <c r="E34" t="s">
        <v>104</v>
      </c>
      <c r="F34" t="s">
        <v>19</v>
      </c>
    </row>
    <row r="35" spans="1:6" x14ac:dyDescent="0.25">
      <c r="A35" t="s">
        <v>272</v>
      </c>
      <c r="B35" t="s">
        <v>90</v>
      </c>
      <c r="C35" t="s">
        <v>160</v>
      </c>
      <c r="D35" t="s">
        <v>92</v>
      </c>
      <c r="E35" t="s">
        <v>104</v>
      </c>
      <c r="F35" t="s">
        <v>128</v>
      </c>
    </row>
    <row r="36" spans="1:6" x14ac:dyDescent="0.25">
      <c r="A36" t="s">
        <v>273</v>
      </c>
      <c r="B36" t="s">
        <v>163</v>
      </c>
      <c r="C36" t="s">
        <v>219</v>
      </c>
      <c r="D36" t="s">
        <v>160</v>
      </c>
      <c r="E36" t="s">
        <v>104</v>
      </c>
      <c r="F36" t="s">
        <v>274</v>
      </c>
    </row>
    <row r="37" spans="1:6" x14ac:dyDescent="0.25">
      <c r="A37" t="s">
        <v>275</v>
      </c>
      <c r="B37" t="s">
        <v>163</v>
      </c>
      <c r="C37" t="s">
        <v>11</v>
      </c>
      <c r="D37" t="s">
        <v>102</v>
      </c>
      <c r="E37" t="s">
        <v>104</v>
      </c>
      <c r="F37" t="s">
        <v>19</v>
      </c>
    </row>
    <row r="38" spans="1:6" x14ac:dyDescent="0.25">
      <c r="A38" t="s">
        <v>276</v>
      </c>
      <c r="B38" t="s">
        <v>163</v>
      </c>
      <c r="C38" t="s">
        <v>11</v>
      </c>
      <c r="D38" t="s">
        <v>91</v>
      </c>
      <c r="E38" t="s">
        <v>103</v>
      </c>
      <c r="F38" t="s">
        <v>277</v>
      </c>
    </row>
  </sheetData>
  <mergeCells count="1">
    <mergeCell ref="A1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C0338-79C8-4239-8D1F-4592F2D67DB1}">
  <dimension ref="A1:M44"/>
  <sheetViews>
    <sheetView workbookViewId="0">
      <selection activeCell="A39" sqref="A39"/>
    </sheetView>
  </sheetViews>
  <sheetFormatPr defaultRowHeight="15" x14ac:dyDescent="0.25"/>
  <cols>
    <col min="1" max="1" width="54.7109375" bestFit="1" customWidth="1"/>
    <col min="2" max="2" width="34.140625" bestFit="1" customWidth="1"/>
    <col min="3" max="3" width="57" bestFit="1" customWidth="1"/>
    <col min="4" max="4" width="33.42578125" bestFit="1" customWidth="1"/>
    <col min="5" max="5" width="70.5703125" bestFit="1" customWidth="1"/>
    <col min="6" max="7" width="21" bestFit="1" customWidth="1"/>
    <col min="8" max="8" width="40" bestFit="1" customWidth="1"/>
    <col min="9" max="9" width="18.5703125" bestFit="1" customWidth="1"/>
    <col min="10" max="10" width="21" bestFit="1" customWidth="1"/>
    <col min="11" max="11" width="14.5703125" bestFit="1" customWidth="1"/>
    <col min="12" max="12" width="19.7109375" bestFit="1" customWidth="1"/>
    <col min="13" max="13" width="21" bestFit="1" customWidth="1"/>
  </cols>
  <sheetData>
    <row r="1" spans="1:13" x14ac:dyDescent="0.25">
      <c r="A1" s="93" t="s">
        <v>278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spans="1:13" x14ac:dyDescent="0.25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</row>
    <row r="3" spans="1:13" x14ac:dyDescent="0.25">
      <c r="A3" s="6" t="s">
        <v>279</v>
      </c>
      <c r="B3" s="6" t="s">
        <v>280</v>
      </c>
      <c r="C3" s="6" t="s">
        <v>281</v>
      </c>
      <c r="D3" s="6" t="s">
        <v>2</v>
      </c>
      <c r="E3" s="6" t="s">
        <v>4</v>
      </c>
      <c r="F3" s="6" t="s">
        <v>282</v>
      </c>
      <c r="G3" s="6" t="s">
        <v>283</v>
      </c>
      <c r="H3" s="6" t="s">
        <v>284</v>
      </c>
      <c r="I3" s="6" t="s">
        <v>285</v>
      </c>
      <c r="J3" s="6" t="s">
        <v>286</v>
      </c>
      <c r="K3" s="6" t="s">
        <v>287</v>
      </c>
      <c r="L3" s="6" t="s">
        <v>7</v>
      </c>
      <c r="M3" s="6" t="s">
        <v>288</v>
      </c>
    </row>
    <row r="4" spans="1:13" x14ac:dyDescent="0.25">
      <c r="A4" t="s">
        <v>289</v>
      </c>
      <c r="B4" t="s">
        <v>290</v>
      </c>
      <c r="C4" t="s">
        <v>291</v>
      </c>
      <c r="D4">
        <v>3</v>
      </c>
      <c r="E4">
        <v>3</v>
      </c>
      <c r="F4">
        <v>2</v>
      </c>
      <c r="G4" t="s">
        <v>292</v>
      </c>
      <c r="H4" t="s">
        <v>293</v>
      </c>
      <c r="I4" t="s">
        <v>294</v>
      </c>
      <c r="J4" t="s">
        <v>292</v>
      </c>
      <c r="K4" t="s">
        <v>3</v>
      </c>
      <c r="L4" t="s">
        <v>295</v>
      </c>
      <c r="M4" t="s">
        <v>294</v>
      </c>
    </row>
    <row r="5" spans="1:13" x14ac:dyDescent="0.25">
      <c r="A5" t="s">
        <v>296</v>
      </c>
      <c r="B5" t="s">
        <v>297</v>
      </c>
      <c r="C5" t="s">
        <v>298</v>
      </c>
      <c r="D5">
        <v>2</v>
      </c>
      <c r="E5">
        <v>2</v>
      </c>
      <c r="F5">
        <v>1</v>
      </c>
      <c r="G5" t="s">
        <v>299</v>
      </c>
      <c r="H5" t="s">
        <v>300</v>
      </c>
      <c r="I5" t="s">
        <v>294</v>
      </c>
      <c r="J5" t="s">
        <v>292</v>
      </c>
      <c r="K5" t="s">
        <v>5</v>
      </c>
      <c r="L5" t="s">
        <v>301</v>
      </c>
      <c r="M5" t="s">
        <v>294</v>
      </c>
    </row>
    <row r="6" spans="1:13" x14ac:dyDescent="0.25">
      <c r="A6" t="s">
        <v>302</v>
      </c>
      <c r="B6" t="s">
        <v>303</v>
      </c>
      <c r="C6" t="s">
        <v>304</v>
      </c>
      <c r="D6">
        <v>3</v>
      </c>
      <c r="E6">
        <v>3</v>
      </c>
      <c r="F6">
        <v>2</v>
      </c>
      <c r="G6" t="s">
        <v>3</v>
      </c>
      <c r="H6" t="s">
        <v>305</v>
      </c>
      <c r="I6" t="s">
        <v>294</v>
      </c>
      <c r="J6" t="s">
        <v>299</v>
      </c>
      <c r="K6" t="s">
        <v>5</v>
      </c>
      <c r="L6" t="s">
        <v>295</v>
      </c>
      <c r="M6" t="s">
        <v>294</v>
      </c>
    </row>
    <row r="7" spans="1:13" x14ac:dyDescent="0.25">
      <c r="A7" t="s">
        <v>306</v>
      </c>
      <c r="B7" t="s">
        <v>307</v>
      </c>
      <c r="C7" t="s">
        <v>308</v>
      </c>
      <c r="D7">
        <v>2</v>
      </c>
      <c r="E7">
        <v>1</v>
      </c>
      <c r="F7">
        <v>1</v>
      </c>
      <c r="G7" t="s">
        <v>309</v>
      </c>
      <c r="H7" t="s">
        <v>310</v>
      </c>
      <c r="I7" t="s">
        <v>294</v>
      </c>
      <c r="J7" t="s">
        <v>3</v>
      </c>
      <c r="K7" t="s">
        <v>292</v>
      </c>
      <c r="L7" t="s">
        <v>301</v>
      </c>
      <c r="M7" t="s">
        <v>294</v>
      </c>
    </row>
    <row r="8" spans="1:13" x14ac:dyDescent="0.25">
      <c r="A8" t="s">
        <v>311</v>
      </c>
      <c r="B8" t="s">
        <v>312</v>
      </c>
      <c r="C8" t="s">
        <v>313</v>
      </c>
      <c r="D8">
        <v>3</v>
      </c>
      <c r="E8">
        <v>2</v>
      </c>
      <c r="F8">
        <v>2</v>
      </c>
      <c r="G8" t="s">
        <v>299</v>
      </c>
      <c r="H8" t="s">
        <v>314</v>
      </c>
      <c r="I8" t="s">
        <v>294</v>
      </c>
      <c r="J8" t="s">
        <v>292</v>
      </c>
      <c r="K8" t="s">
        <v>3</v>
      </c>
      <c r="L8" t="s">
        <v>295</v>
      </c>
      <c r="M8" t="s">
        <v>294</v>
      </c>
    </row>
    <row r="9" spans="1:13" x14ac:dyDescent="0.25">
      <c r="A9" t="s">
        <v>315</v>
      </c>
      <c r="B9" t="s">
        <v>316</v>
      </c>
      <c r="C9" t="s">
        <v>317</v>
      </c>
      <c r="D9">
        <v>2</v>
      </c>
      <c r="E9">
        <v>1</v>
      </c>
      <c r="F9">
        <v>1</v>
      </c>
      <c r="G9" t="s">
        <v>292</v>
      </c>
      <c r="H9" t="s">
        <v>318</v>
      </c>
      <c r="I9" t="s">
        <v>294</v>
      </c>
      <c r="J9" t="s">
        <v>3</v>
      </c>
      <c r="K9" t="s">
        <v>5</v>
      </c>
      <c r="L9" t="s">
        <v>301</v>
      </c>
      <c r="M9" t="s">
        <v>294</v>
      </c>
    </row>
    <row r="10" spans="1:13" x14ac:dyDescent="0.25">
      <c r="A10" t="s">
        <v>319</v>
      </c>
      <c r="B10" t="s">
        <v>320</v>
      </c>
      <c r="C10" t="s">
        <v>298</v>
      </c>
      <c r="D10">
        <v>2</v>
      </c>
      <c r="E10">
        <v>2</v>
      </c>
      <c r="F10">
        <v>2</v>
      </c>
      <c r="G10" t="s">
        <v>299</v>
      </c>
      <c r="H10" t="s">
        <v>321</v>
      </c>
      <c r="I10" t="s">
        <v>294</v>
      </c>
      <c r="J10" t="s">
        <v>299</v>
      </c>
      <c r="K10" t="s">
        <v>292</v>
      </c>
      <c r="L10" t="s">
        <v>295</v>
      </c>
      <c r="M10" t="s">
        <v>294</v>
      </c>
    </row>
    <row r="11" spans="1:13" x14ac:dyDescent="0.25">
      <c r="A11" t="s">
        <v>322</v>
      </c>
      <c r="B11" t="s">
        <v>323</v>
      </c>
      <c r="C11" t="s">
        <v>324</v>
      </c>
      <c r="D11">
        <v>2</v>
      </c>
      <c r="E11">
        <v>2</v>
      </c>
      <c r="F11">
        <v>1</v>
      </c>
      <c r="G11" t="s">
        <v>325</v>
      </c>
      <c r="H11" t="s">
        <v>326</v>
      </c>
      <c r="I11" t="s">
        <v>294</v>
      </c>
      <c r="J11" t="s">
        <v>292</v>
      </c>
      <c r="K11" t="s">
        <v>3</v>
      </c>
      <c r="L11" t="s">
        <v>301</v>
      </c>
      <c r="M11" t="s">
        <v>294</v>
      </c>
    </row>
    <row r="12" spans="1:13" x14ac:dyDescent="0.25">
      <c r="A12" t="s">
        <v>327</v>
      </c>
      <c r="B12" t="s">
        <v>328</v>
      </c>
      <c r="C12" t="s">
        <v>329</v>
      </c>
      <c r="D12">
        <v>2</v>
      </c>
      <c r="E12">
        <v>2</v>
      </c>
      <c r="F12">
        <v>1</v>
      </c>
      <c r="G12" t="s">
        <v>292</v>
      </c>
      <c r="H12" t="s">
        <v>330</v>
      </c>
      <c r="I12" t="s">
        <v>294</v>
      </c>
      <c r="J12" t="s">
        <v>292</v>
      </c>
      <c r="K12" t="s">
        <v>3</v>
      </c>
      <c r="L12" t="s">
        <v>301</v>
      </c>
      <c r="M12" t="s">
        <v>294</v>
      </c>
    </row>
    <row r="13" spans="1:13" x14ac:dyDescent="0.25">
      <c r="A13" t="s">
        <v>331</v>
      </c>
      <c r="B13" t="s">
        <v>332</v>
      </c>
      <c r="C13" t="s">
        <v>298</v>
      </c>
      <c r="D13">
        <v>1</v>
      </c>
      <c r="E13">
        <v>1</v>
      </c>
      <c r="F13">
        <v>1</v>
      </c>
      <c r="G13" t="s">
        <v>299</v>
      </c>
      <c r="H13" t="s">
        <v>293</v>
      </c>
      <c r="I13" t="s">
        <v>294</v>
      </c>
      <c r="J13" t="s">
        <v>3</v>
      </c>
      <c r="K13" t="s">
        <v>299</v>
      </c>
      <c r="L13" t="s">
        <v>301</v>
      </c>
      <c r="M13" t="s">
        <v>294</v>
      </c>
    </row>
    <row r="14" spans="1:13" x14ac:dyDescent="0.25">
      <c r="A14" t="s">
        <v>333</v>
      </c>
      <c r="B14" t="s">
        <v>334</v>
      </c>
      <c r="C14" t="s">
        <v>308</v>
      </c>
      <c r="D14">
        <v>2</v>
      </c>
      <c r="E14">
        <v>1</v>
      </c>
      <c r="F14">
        <v>1</v>
      </c>
      <c r="G14" t="s">
        <v>309</v>
      </c>
      <c r="H14" t="s">
        <v>335</v>
      </c>
      <c r="I14" t="s">
        <v>294</v>
      </c>
      <c r="J14" t="s">
        <v>3</v>
      </c>
      <c r="K14" t="s">
        <v>299</v>
      </c>
      <c r="L14" t="s">
        <v>301</v>
      </c>
      <c r="M14" t="s">
        <v>294</v>
      </c>
    </row>
    <row r="15" spans="1:13" x14ac:dyDescent="0.25">
      <c r="A15" t="s">
        <v>336</v>
      </c>
      <c r="B15" t="s">
        <v>337</v>
      </c>
      <c r="C15" t="s">
        <v>338</v>
      </c>
      <c r="D15">
        <v>2</v>
      </c>
      <c r="E15">
        <v>2</v>
      </c>
      <c r="F15">
        <v>2</v>
      </c>
      <c r="G15" t="s">
        <v>292</v>
      </c>
      <c r="H15" t="s">
        <v>310</v>
      </c>
      <c r="I15" t="s">
        <v>294</v>
      </c>
      <c r="J15" t="s">
        <v>292</v>
      </c>
      <c r="K15" t="s">
        <v>292</v>
      </c>
      <c r="L15" t="s">
        <v>295</v>
      </c>
      <c r="M15" t="s">
        <v>294</v>
      </c>
    </row>
    <row r="16" spans="1:13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</row>
    <row r="17" spans="1:13" x14ac:dyDescent="0.25">
      <c r="A17" s="2" t="s">
        <v>339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</row>
    <row r="18" spans="1:13" x14ac:dyDescent="0.25">
      <c r="A18" s="6" t="s">
        <v>340</v>
      </c>
      <c r="B18" s="6" t="s">
        <v>281</v>
      </c>
      <c r="C18" s="6" t="s">
        <v>56</v>
      </c>
      <c r="D18" s="6" t="s">
        <v>57</v>
      </c>
      <c r="E18" s="6" t="s">
        <v>8</v>
      </c>
      <c r="F18" s="6" t="s">
        <v>284</v>
      </c>
      <c r="G18" s="6" t="s">
        <v>285</v>
      </c>
      <c r="H18" s="6" t="s">
        <v>341</v>
      </c>
      <c r="I18" s="6" t="s">
        <v>7</v>
      </c>
      <c r="J18" s="6" t="s">
        <v>288</v>
      </c>
    </row>
    <row r="19" spans="1:13" x14ac:dyDescent="0.25">
      <c r="A19" t="s">
        <v>290</v>
      </c>
      <c r="B19" t="s">
        <v>291</v>
      </c>
      <c r="C19" t="s">
        <v>138</v>
      </c>
      <c r="D19">
        <v>50</v>
      </c>
      <c r="E19" t="s">
        <v>342</v>
      </c>
      <c r="F19" t="s">
        <v>293</v>
      </c>
      <c r="G19" t="s">
        <v>294</v>
      </c>
      <c r="H19" t="s">
        <v>343</v>
      </c>
      <c r="I19" t="s">
        <v>295</v>
      </c>
      <c r="J19" t="s">
        <v>294</v>
      </c>
    </row>
    <row r="20" spans="1:13" x14ac:dyDescent="0.25">
      <c r="A20" t="s">
        <v>303</v>
      </c>
      <c r="B20" t="s">
        <v>304</v>
      </c>
      <c r="C20" t="s">
        <v>138</v>
      </c>
      <c r="D20">
        <v>60</v>
      </c>
      <c r="E20" t="s">
        <v>344</v>
      </c>
      <c r="F20" t="s">
        <v>305</v>
      </c>
      <c r="G20" t="s">
        <v>294</v>
      </c>
      <c r="H20" t="s">
        <v>345</v>
      </c>
      <c r="I20" t="s">
        <v>295</v>
      </c>
      <c r="J20" t="s">
        <v>294</v>
      </c>
    </row>
    <row r="21" spans="1:13" x14ac:dyDescent="0.25">
      <c r="A21" t="s">
        <v>312</v>
      </c>
      <c r="B21" t="s">
        <v>313</v>
      </c>
      <c r="C21" t="s">
        <v>138</v>
      </c>
      <c r="D21">
        <v>40</v>
      </c>
      <c r="E21" t="s">
        <v>346</v>
      </c>
      <c r="F21" t="s">
        <v>314</v>
      </c>
      <c r="G21" t="s">
        <v>294</v>
      </c>
      <c r="H21" t="s">
        <v>347</v>
      </c>
      <c r="I21" t="s">
        <v>295</v>
      </c>
      <c r="J21" t="s">
        <v>294</v>
      </c>
    </row>
    <row r="22" spans="1:13" x14ac:dyDescent="0.25">
      <c r="A22" t="s">
        <v>320</v>
      </c>
      <c r="B22" t="s">
        <v>298</v>
      </c>
      <c r="C22" t="s">
        <v>77</v>
      </c>
      <c r="D22">
        <v>35</v>
      </c>
      <c r="E22" t="s">
        <v>348</v>
      </c>
      <c r="F22" t="s">
        <v>321</v>
      </c>
      <c r="G22" t="s">
        <v>294</v>
      </c>
      <c r="H22" t="s">
        <v>349</v>
      </c>
      <c r="I22" t="s">
        <v>295</v>
      </c>
      <c r="J22" t="s">
        <v>294</v>
      </c>
    </row>
    <row r="23" spans="1:13" x14ac:dyDescent="0.2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</row>
    <row r="24" spans="1:13" x14ac:dyDescent="0.25">
      <c r="A24" t="s">
        <v>350</v>
      </c>
      <c r="B24" t="s">
        <v>351</v>
      </c>
      <c r="C24" t="s">
        <v>0</v>
      </c>
      <c r="D24" t="s">
        <v>0</v>
      </c>
      <c r="E24" t="s">
        <v>352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</row>
    <row r="25" spans="1:13" x14ac:dyDescent="0.2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</row>
    <row r="26" spans="1:13" x14ac:dyDescent="0.25">
      <c r="A26" s="4" t="s">
        <v>353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</row>
    <row r="27" spans="1:13" x14ac:dyDescent="0.25">
      <c r="A27" s="6" t="s">
        <v>340</v>
      </c>
      <c r="B27" s="6" t="s">
        <v>281</v>
      </c>
      <c r="C27" s="6" t="s">
        <v>354</v>
      </c>
      <c r="D27" s="6" t="s">
        <v>355</v>
      </c>
      <c r="E27" s="6" t="s">
        <v>356</v>
      </c>
      <c r="F27" s="6" t="s">
        <v>357</v>
      </c>
      <c r="G27" s="6" t="s">
        <v>285</v>
      </c>
      <c r="H27" s="6" t="s">
        <v>288</v>
      </c>
    </row>
    <row r="28" spans="1:13" x14ac:dyDescent="0.25">
      <c r="A28" t="s">
        <v>297</v>
      </c>
      <c r="B28" t="s">
        <v>298</v>
      </c>
      <c r="C28" t="s">
        <v>358</v>
      </c>
      <c r="D28" t="s">
        <v>359</v>
      </c>
      <c r="E28">
        <v>80</v>
      </c>
      <c r="F28" t="s">
        <v>318</v>
      </c>
      <c r="G28" t="s">
        <v>294</v>
      </c>
      <c r="H28" t="s">
        <v>294</v>
      </c>
    </row>
    <row r="29" spans="1:13" x14ac:dyDescent="0.25">
      <c r="A29" t="s">
        <v>316</v>
      </c>
      <c r="B29" t="s">
        <v>317</v>
      </c>
      <c r="C29" t="s">
        <v>360</v>
      </c>
      <c r="D29" t="s">
        <v>361</v>
      </c>
      <c r="E29">
        <v>100</v>
      </c>
      <c r="F29" t="s">
        <v>305</v>
      </c>
      <c r="G29" t="s">
        <v>294</v>
      </c>
      <c r="H29" t="s">
        <v>294</v>
      </c>
    </row>
    <row r="30" spans="1:13" x14ac:dyDescent="0.25">
      <c r="A30" t="s">
        <v>323</v>
      </c>
      <c r="B30" t="s">
        <v>324</v>
      </c>
      <c r="C30" t="s">
        <v>362</v>
      </c>
      <c r="D30" t="s">
        <v>359</v>
      </c>
      <c r="E30">
        <v>70</v>
      </c>
      <c r="F30" t="s">
        <v>300</v>
      </c>
      <c r="G30" t="s">
        <v>294</v>
      </c>
      <c r="H30" t="s">
        <v>294</v>
      </c>
    </row>
    <row r="31" spans="1:13" x14ac:dyDescent="0.25">
      <c r="A31" t="s">
        <v>328</v>
      </c>
      <c r="B31" t="s">
        <v>329</v>
      </c>
      <c r="C31" t="s">
        <v>363</v>
      </c>
      <c r="D31" t="s">
        <v>359</v>
      </c>
      <c r="E31">
        <v>60</v>
      </c>
      <c r="F31" t="s">
        <v>318</v>
      </c>
      <c r="G31" t="s">
        <v>294</v>
      </c>
      <c r="H31" t="s">
        <v>294</v>
      </c>
    </row>
    <row r="32" spans="1:13" x14ac:dyDescent="0.2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</row>
    <row r="33" spans="1:13" x14ac:dyDescent="0.25">
      <c r="A33" s="2" t="s">
        <v>364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</row>
    <row r="34" spans="1:13" x14ac:dyDescent="0.25">
      <c r="A34" s="6" t="s">
        <v>340</v>
      </c>
      <c r="B34" s="6" t="s">
        <v>281</v>
      </c>
      <c r="C34" s="6" t="s">
        <v>365</v>
      </c>
      <c r="D34" s="6" t="s">
        <v>366</v>
      </c>
      <c r="E34" s="6" t="s">
        <v>367</v>
      </c>
      <c r="F34" s="6" t="s">
        <v>285</v>
      </c>
      <c r="G34" s="6" t="s">
        <v>288</v>
      </c>
    </row>
    <row r="35" spans="1:13" x14ac:dyDescent="0.25">
      <c r="A35" t="s">
        <v>307</v>
      </c>
      <c r="B35" t="s">
        <v>308</v>
      </c>
      <c r="C35" t="s">
        <v>368</v>
      </c>
      <c r="D35" t="s">
        <v>82</v>
      </c>
      <c r="E35" t="s">
        <v>369</v>
      </c>
      <c r="F35" t="s">
        <v>294</v>
      </c>
      <c r="G35" t="s">
        <v>294</v>
      </c>
    </row>
    <row r="36" spans="1:13" x14ac:dyDescent="0.25">
      <c r="A36" t="s">
        <v>334</v>
      </c>
      <c r="B36" t="s">
        <v>308</v>
      </c>
      <c r="C36" t="s">
        <v>370</v>
      </c>
      <c r="D36" t="s">
        <v>82</v>
      </c>
      <c r="E36" t="s">
        <v>371</v>
      </c>
      <c r="F36" t="s">
        <v>294</v>
      </c>
      <c r="G36" t="s">
        <v>294</v>
      </c>
    </row>
    <row r="37" spans="1:13" x14ac:dyDescent="0.25">
      <c r="A37" t="s">
        <v>332</v>
      </c>
      <c r="B37" t="s">
        <v>298</v>
      </c>
      <c r="C37" t="s">
        <v>372</v>
      </c>
      <c r="D37" t="s">
        <v>359</v>
      </c>
      <c r="E37" t="s">
        <v>373</v>
      </c>
      <c r="F37" t="s">
        <v>294</v>
      </c>
      <c r="G37" t="s">
        <v>294</v>
      </c>
    </row>
    <row r="38" spans="1:13" x14ac:dyDescent="0.25">
      <c r="A38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</row>
    <row r="39" spans="1:13" x14ac:dyDescent="0.25">
      <c r="A39" s="4" t="s">
        <v>374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</row>
    <row r="40" spans="1:13" x14ac:dyDescent="0.25">
      <c r="A40" t="s">
        <v>375</v>
      </c>
      <c r="B40" t="s">
        <v>376</v>
      </c>
      <c r="C40" t="s">
        <v>377</v>
      </c>
      <c r="D40" t="s">
        <v>8</v>
      </c>
      <c r="E40" t="s">
        <v>285</v>
      </c>
      <c r="F40" t="s">
        <v>288</v>
      </c>
    </row>
    <row r="41" spans="1:13" x14ac:dyDescent="0.25">
      <c r="A41" t="s">
        <v>378</v>
      </c>
      <c r="B41" t="s">
        <v>379</v>
      </c>
      <c r="C41" t="s">
        <v>380</v>
      </c>
      <c r="D41" t="s">
        <v>381</v>
      </c>
      <c r="E41" t="s">
        <v>294</v>
      </c>
      <c r="F41" t="s">
        <v>294</v>
      </c>
    </row>
    <row r="42" spans="1:13" x14ac:dyDescent="0.25">
      <c r="A42" t="s">
        <v>382</v>
      </c>
      <c r="B42" t="s">
        <v>383</v>
      </c>
      <c r="C42" t="s">
        <v>384</v>
      </c>
      <c r="D42" t="s">
        <v>385</v>
      </c>
      <c r="E42" t="s">
        <v>294</v>
      </c>
      <c r="F42" t="s">
        <v>294</v>
      </c>
    </row>
    <row r="43" spans="1:13" x14ac:dyDescent="0.25">
      <c r="A43" t="s">
        <v>386</v>
      </c>
      <c r="B43" t="s">
        <v>387</v>
      </c>
      <c r="C43" t="s">
        <v>388</v>
      </c>
      <c r="D43" t="s">
        <v>389</v>
      </c>
      <c r="E43" t="s">
        <v>294</v>
      </c>
      <c r="F43" t="s">
        <v>294</v>
      </c>
    </row>
    <row r="44" spans="1:13" x14ac:dyDescent="0.25">
      <c r="A44" t="s">
        <v>390</v>
      </c>
      <c r="B44" t="s">
        <v>391</v>
      </c>
      <c r="C44" t="s">
        <v>392</v>
      </c>
      <c r="D44" t="s">
        <v>393</v>
      </c>
      <c r="E44" t="s">
        <v>294</v>
      </c>
      <c r="F44" t="s">
        <v>294</v>
      </c>
    </row>
  </sheetData>
  <mergeCells count="1">
    <mergeCell ref="A1:M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0871-65A8-49AD-9405-0C937C4858A0}">
  <dimension ref="A1:J23"/>
  <sheetViews>
    <sheetView workbookViewId="0">
      <selection sqref="A1:J1"/>
    </sheetView>
  </sheetViews>
  <sheetFormatPr defaultRowHeight="12.75" x14ac:dyDescent="0.2"/>
  <cols>
    <col min="1" max="1" width="25" style="10" customWidth="1"/>
    <col min="2" max="10" width="16" style="10" customWidth="1"/>
    <col min="11" max="16384" width="9.140625" style="10"/>
  </cols>
  <sheetData>
    <row r="1" spans="1:10" ht="24" customHeight="1" x14ac:dyDescent="0.2">
      <c r="A1" s="94" t="s">
        <v>567</v>
      </c>
      <c r="B1" s="95"/>
      <c r="C1" s="95"/>
      <c r="D1" s="95"/>
      <c r="E1" s="95"/>
      <c r="F1" s="95"/>
      <c r="G1" s="95"/>
      <c r="H1" s="95"/>
      <c r="I1" s="95"/>
      <c r="J1" s="95"/>
    </row>
    <row r="2" spans="1:10" x14ac:dyDescent="0.2">
      <c r="A2" s="96" t="s">
        <v>568</v>
      </c>
      <c r="B2" s="95"/>
      <c r="C2" s="95"/>
      <c r="D2" s="95"/>
      <c r="E2" s="95"/>
      <c r="F2" s="95"/>
      <c r="G2" s="95"/>
      <c r="H2" s="95"/>
      <c r="I2" s="95"/>
      <c r="J2" s="95"/>
    </row>
    <row r="4" spans="1:10" x14ac:dyDescent="0.2">
      <c r="A4" s="97" t="s">
        <v>569</v>
      </c>
      <c r="B4" s="95"/>
      <c r="C4" s="95"/>
      <c r="D4" s="95"/>
      <c r="E4" s="95"/>
      <c r="F4" s="95"/>
      <c r="G4" s="95"/>
      <c r="H4" s="95"/>
      <c r="I4" s="95"/>
      <c r="J4" s="95"/>
    </row>
    <row r="5" spans="1:10" ht="25.5" x14ac:dyDescent="0.2">
      <c r="A5" s="11" t="s">
        <v>55</v>
      </c>
      <c r="B5" s="11" t="s">
        <v>570</v>
      </c>
      <c r="C5" s="11" t="s">
        <v>571</v>
      </c>
      <c r="D5" s="11" t="s">
        <v>572</v>
      </c>
      <c r="E5" s="11" t="s">
        <v>573</v>
      </c>
      <c r="F5" s="11" t="s">
        <v>574</v>
      </c>
      <c r="G5" s="11" t="s">
        <v>575</v>
      </c>
      <c r="H5" s="11" t="s">
        <v>576</v>
      </c>
      <c r="I5" s="11" t="s">
        <v>577</v>
      </c>
      <c r="J5" s="11" t="s">
        <v>578</v>
      </c>
    </row>
    <row r="6" spans="1:10" x14ac:dyDescent="0.2">
      <c r="A6" s="10" t="s">
        <v>579</v>
      </c>
      <c r="B6" s="12"/>
      <c r="C6" s="12"/>
      <c r="D6" s="12"/>
      <c r="E6" s="12"/>
      <c r="F6" s="12"/>
      <c r="G6" s="12"/>
      <c r="H6" s="13">
        <f t="shared" ref="H6:H11" si="0">E6+F6+G6+J6</f>
        <v>0</v>
      </c>
      <c r="I6" s="13">
        <f t="shared" ref="I6:I11" si="1">H6-B6-G6</f>
        <v>0</v>
      </c>
      <c r="J6" s="14"/>
    </row>
    <row r="7" spans="1:10" x14ac:dyDescent="0.2">
      <c r="A7" s="10" t="s">
        <v>580</v>
      </c>
      <c r="B7" s="12"/>
      <c r="C7" s="12"/>
      <c r="D7" s="12"/>
      <c r="E7" s="12"/>
      <c r="F7" s="12"/>
      <c r="G7" s="12"/>
      <c r="H7" s="13">
        <f t="shared" si="0"/>
        <v>0</v>
      </c>
      <c r="I7" s="13">
        <f t="shared" si="1"/>
        <v>0</v>
      </c>
      <c r="J7" s="14"/>
    </row>
    <row r="8" spans="1:10" x14ac:dyDescent="0.2">
      <c r="A8" s="10" t="s">
        <v>581</v>
      </c>
      <c r="B8" s="12"/>
      <c r="C8" s="12"/>
      <c r="D8" s="12"/>
      <c r="E8" s="12"/>
      <c r="F8" s="12"/>
      <c r="G8" s="12"/>
      <c r="H8" s="13">
        <f t="shared" si="0"/>
        <v>0</v>
      </c>
      <c r="I8" s="13">
        <f t="shared" si="1"/>
        <v>0</v>
      </c>
      <c r="J8" s="14"/>
    </row>
    <row r="9" spans="1:10" x14ac:dyDescent="0.2">
      <c r="A9" s="10" t="s">
        <v>582</v>
      </c>
      <c r="B9" s="12"/>
      <c r="C9" s="12"/>
      <c r="D9" s="12"/>
      <c r="E9" s="12"/>
      <c r="F9" s="12"/>
      <c r="G9" s="12"/>
      <c r="H9" s="13">
        <f t="shared" si="0"/>
        <v>0</v>
      </c>
      <c r="I9" s="13">
        <f t="shared" si="1"/>
        <v>0</v>
      </c>
      <c r="J9" s="14"/>
    </row>
    <row r="10" spans="1:10" x14ac:dyDescent="0.2">
      <c r="A10" s="10" t="s">
        <v>583</v>
      </c>
      <c r="B10" s="12"/>
      <c r="C10" s="12"/>
      <c r="D10" s="12"/>
      <c r="E10" s="12"/>
      <c r="F10" s="12"/>
      <c r="G10" s="12"/>
      <c r="H10" s="13">
        <f t="shared" si="0"/>
        <v>0</v>
      </c>
      <c r="I10" s="13">
        <f t="shared" si="1"/>
        <v>0</v>
      </c>
      <c r="J10" s="14"/>
    </row>
    <row r="11" spans="1:10" x14ac:dyDescent="0.2">
      <c r="A11" s="10" t="s">
        <v>584</v>
      </c>
      <c r="B11" s="12"/>
      <c r="C11" s="12"/>
      <c r="D11" s="12"/>
      <c r="E11" s="12"/>
      <c r="F11" s="12"/>
      <c r="G11" s="12"/>
      <c r="H11" s="13">
        <f t="shared" si="0"/>
        <v>0</v>
      </c>
      <c r="I11" s="13">
        <f t="shared" si="1"/>
        <v>0</v>
      </c>
      <c r="J11" s="14"/>
    </row>
    <row r="13" spans="1:10" x14ac:dyDescent="0.2">
      <c r="A13" s="15" t="s">
        <v>585</v>
      </c>
      <c r="B13" s="16">
        <f t="shared" ref="B13:I13" si="2">SUM(B6:B11)</f>
        <v>0</v>
      </c>
      <c r="C13" s="16">
        <f t="shared" si="2"/>
        <v>0</v>
      </c>
      <c r="D13" s="16">
        <f t="shared" si="2"/>
        <v>0</v>
      </c>
      <c r="E13" s="16">
        <f t="shared" si="2"/>
        <v>0</v>
      </c>
      <c r="F13" s="16">
        <f t="shared" si="2"/>
        <v>0</v>
      </c>
      <c r="G13" s="16">
        <f t="shared" si="2"/>
        <v>0</v>
      </c>
      <c r="H13" s="16">
        <f t="shared" si="2"/>
        <v>0</v>
      </c>
      <c r="I13" s="16">
        <f t="shared" si="2"/>
        <v>0</v>
      </c>
    </row>
    <row r="16" spans="1:10" x14ac:dyDescent="0.2">
      <c r="A16" s="97" t="s">
        <v>586</v>
      </c>
      <c r="B16" s="95"/>
      <c r="C16" s="95"/>
      <c r="D16" s="95"/>
      <c r="E16" s="95"/>
      <c r="F16" s="95"/>
      <c r="G16" s="95"/>
      <c r="H16" s="95"/>
      <c r="I16" s="95"/>
      <c r="J16" s="95"/>
    </row>
    <row r="17" spans="1:4" ht="25.5" x14ac:dyDescent="0.2">
      <c r="A17" s="11" t="s">
        <v>587</v>
      </c>
      <c r="B17" s="11" t="s">
        <v>588</v>
      </c>
      <c r="C17" s="11" t="s">
        <v>589</v>
      </c>
      <c r="D17" s="11" t="s">
        <v>590</v>
      </c>
    </row>
    <row r="18" spans="1:4" x14ac:dyDescent="0.2">
      <c r="A18" s="17" t="s">
        <v>591</v>
      </c>
      <c r="B18" s="18">
        <f>B13</f>
        <v>0</v>
      </c>
      <c r="C18" s="17" t="s">
        <v>592</v>
      </c>
      <c r="D18" s="19"/>
    </row>
    <row r="19" spans="1:4" x14ac:dyDescent="0.2">
      <c r="A19" s="17" t="s">
        <v>593</v>
      </c>
      <c r="B19" s="18">
        <f>H13</f>
        <v>0</v>
      </c>
      <c r="C19" s="17" t="s">
        <v>594</v>
      </c>
      <c r="D19" s="19"/>
    </row>
    <row r="20" spans="1:4" x14ac:dyDescent="0.2">
      <c r="A20" s="17" t="s">
        <v>595</v>
      </c>
      <c r="B20" s="18">
        <f>I13</f>
        <v>0</v>
      </c>
      <c r="C20" s="17" t="s">
        <v>596</v>
      </c>
      <c r="D20" s="19"/>
    </row>
    <row r="21" spans="1:4" x14ac:dyDescent="0.2">
      <c r="A21" s="17" t="s">
        <v>597</v>
      </c>
      <c r="B21" s="18" t="e">
        <f>(I13/B13)*100</f>
        <v>#DIV/0!</v>
      </c>
      <c r="C21" s="17" t="s">
        <v>598</v>
      </c>
      <c r="D21" s="19"/>
    </row>
    <row r="22" spans="1:4" x14ac:dyDescent="0.2">
      <c r="A22" s="17" t="s">
        <v>599</v>
      </c>
      <c r="B22" s="18" t="e">
        <f>H13/B13</f>
        <v>#DIV/0!</v>
      </c>
      <c r="C22" s="17" t="s">
        <v>600</v>
      </c>
      <c r="D22" s="19"/>
    </row>
    <row r="23" spans="1:4" x14ac:dyDescent="0.2">
      <c r="A23" s="17" t="s">
        <v>601</v>
      </c>
      <c r="B23" s="18" t="e">
        <f>(B13/(H13/24))</f>
        <v>#DIV/0!</v>
      </c>
      <c r="C23" s="17" t="s">
        <v>602</v>
      </c>
      <c r="D23" s="19"/>
    </row>
  </sheetData>
  <mergeCells count="4">
    <mergeCell ref="A1:J1"/>
    <mergeCell ref="A2:J2"/>
    <mergeCell ref="A4:J4"/>
    <mergeCell ref="A16:J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C0A1A-8D0A-4588-BB59-E6ABAFDFA011}">
  <dimension ref="A1:P22"/>
  <sheetViews>
    <sheetView workbookViewId="0">
      <selection activeCell="I3" sqref="I3"/>
    </sheetView>
  </sheetViews>
  <sheetFormatPr defaultRowHeight="15" x14ac:dyDescent="0.25"/>
  <cols>
    <col min="1" max="1" width="52" bestFit="1" customWidth="1"/>
    <col min="2" max="2" width="15.85546875" bestFit="1" customWidth="1"/>
    <col min="3" max="3" width="47.85546875" style="7" customWidth="1"/>
    <col min="4" max="4" width="17.5703125" style="7" customWidth="1"/>
    <col min="5" max="5" width="20.140625" style="7" customWidth="1"/>
    <col min="6" max="6" width="20.7109375" style="7" customWidth="1"/>
    <col min="7" max="7" width="18.28515625" style="7" customWidth="1"/>
    <col min="8" max="8" width="15.85546875" style="7" customWidth="1"/>
    <col min="9" max="9" width="18.28515625" style="7" customWidth="1"/>
    <col min="10" max="16" width="9.140625" style="7"/>
  </cols>
  <sheetData>
    <row r="1" spans="1:9" x14ac:dyDescent="0.25">
      <c r="A1" s="98" t="s">
        <v>396</v>
      </c>
      <c r="B1" s="98"/>
      <c r="C1" s="98"/>
      <c r="D1" s="98"/>
      <c r="E1" s="98"/>
      <c r="F1" s="98"/>
      <c r="G1" s="98"/>
      <c r="H1" s="98"/>
      <c r="I1" s="98"/>
    </row>
    <row r="2" spans="1:9" x14ac:dyDescent="0.25">
      <c r="A2" s="98"/>
      <c r="B2" s="98"/>
      <c r="C2" s="98"/>
      <c r="D2" s="98"/>
      <c r="E2" s="98"/>
      <c r="F2" s="98"/>
      <c r="G2" s="98"/>
      <c r="H2" s="98"/>
      <c r="I2" s="98"/>
    </row>
    <row r="3" spans="1:9" ht="30" x14ac:dyDescent="0.25">
      <c r="A3" t="s">
        <v>397</v>
      </c>
      <c r="B3" t="s">
        <v>398</v>
      </c>
      <c r="C3" s="7" t="s">
        <v>399</v>
      </c>
      <c r="D3" s="7" t="s">
        <v>400</v>
      </c>
      <c r="E3" s="7" t="s">
        <v>401</v>
      </c>
      <c r="F3" s="7" t="s">
        <v>402</v>
      </c>
      <c r="G3" s="7" t="s">
        <v>403</v>
      </c>
      <c r="H3" s="7" t="s">
        <v>404</v>
      </c>
      <c r="I3" s="7" t="s">
        <v>405</v>
      </c>
    </row>
    <row r="4" spans="1:9" ht="73.5" customHeight="1" x14ac:dyDescent="0.25">
      <c r="A4" t="s">
        <v>406</v>
      </c>
      <c r="B4" t="s">
        <v>60</v>
      </c>
      <c r="C4" s="7" t="s">
        <v>407</v>
      </c>
      <c r="D4" s="7" t="s">
        <v>408</v>
      </c>
      <c r="E4" s="7" t="s">
        <v>409</v>
      </c>
      <c r="F4" s="7" t="s">
        <v>410</v>
      </c>
      <c r="G4" s="7" t="s">
        <v>411</v>
      </c>
      <c r="H4" s="7">
        <v>150</v>
      </c>
      <c r="I4" s="7" t="s">
        <v>412</v>
      </c>
    </row>
    <row r="5" spans="1:9" ht="88.5" customHeight="1" x14ac:dyDescent="0.25">
      <c r="A5" t="s">
        <v>413</v>
      </c>
      <c r="B5" t="s">
        <v>77</v>
      </c>
      <c r="C5" s="7" t="s">
        <v>414</v>
      </c>
      <c r="D5" s="7" t="s">
        <v>415</v>
      </c>
      <c r="E5" s="7" t="s">
        <v>416</v>
      </c>
      <c r="F5" s="7" t="s">
        <v>417</v>
      </c>
      <c r="G5" s="7" t="s">
        <v>418</v>
      </c>
      <c r="H5" s="7">
        <v>220</v>
      </c>
      <c r="I5" s="7" t="s">
        <v>419</v>
      </c>
    </row>
    <row r="6" spans="1:9" ht="129.75" customHeight="1" x14ac:dyDescent="0.25">
      <c r="A6" t="s">
        <v>420</v>
      </c>
      <c r="B6" t="s">
        <v>359</v>
      </c>
      <c r="C6" s="7" t="s">
        <v>421</v>
      </c>
      <c r="D6" s="7" t="s">
        <v>422</v>
      </c>
      <c r="E6" s="7" t="s">
        <v>423</v>
      </c>
      <c r="F6" s="7" t="s">
        <v>424</v>
      </c>
      <c r="G6" s="7" t="s">
        <v>425</v>
      </c>
      <c r="H6" s="7">
        <v>200</v>
      </c>
      <c r="I6" s="7" t="s">
        <v>426</v>
      </c>
    </row>
    <row r="7" spans="1:9" ht="117" customHeight="1" x14ac:dyDescent="0.25">
      <c r="A7" t="s">
        <v>427</v>
      </c>
      <c r="B7" t="s">
        <v>361</v>
      </c>
      <c r="C7" s="7" t="s">
        <v>428</v>
      </c>
      <c r="D7" s="7" t="s">
        <v>429</v>
      </c>
      <c r="E7" s="7" t="s">
        <v>430</v>
      </c>
      <c r="F7" s="7" t="s">
        <v>431</v>
      </c>
      <c r="G7" s="7" t="s">
        <v>432</v>
      </c>
      <c r="H7" s="7">
        <v>280</v>
      </c>
      <c r="I7" s="7" t="s">
        <v>433</v>
      </c>
    </row>
    <row r="8" spans="1:9" ht="115.5" customHeight="1" x14ac:dyDescent="0.25">
      <c r="A8" t="s">
        <v>434</v>
      </c>
      <c r="B8">
        <v>2027</v>
      </c>
      <c r="C8" s="7" t="s">
        <v>435</v>
      </c>
      <c r="D8" s="7" t="s">
        <v>436</v>
      </c>
      <c r="E8" s="7" t="s">
        <v>437</v>
      </c>
      <c r="F8" s="7" t="s">
        <v>438</v>
      </c>
      <c r="G8" s="7" t="s">
        <v>439</v>
      </c>
      <c r="H8" s="7">
        <v>250</v>
      </c>
      <c r="I8" s="7" t="s">
        <v>440</v>
      </c>
    </row>
    <row r="9" spans="1:9" x14ac:dyDescent="0.25">
      <c r="A9" t="s">
        <v>0</v>
      </c>
      <c r="B9" t="s">
        <v>0</v>
      </c>
      <c r="C9" s="7" t="s">
        <v>0</v>
      </c>
      <c r="D9" s="7" t="s">
        <v>0</v>
      </c>
      <c r="E9" s="7" t="s">
        <v>0</v>
      </c>
      <c r="F9" s="7" t="s">
        <v>0</v>
      </c>
      <c r="G9" s="7" t="s">
        <v>0</v>
      </c>
      <c r="H9" s="7" t="s">
        <v>0</v>
      </c>
      <c r="I9" s="7" t="s">
        <v>0</v>
      </c>
    </row>
    <row r="10" spans="1:9" x14ac:dyDescent="0.25">
      <c r="A10" t="s">
        <v>441</v>
      </c>
      <c r="B10" t="s">
        <v>0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442</v>
      </c>
      <c r="I10" s="7" t="s">
        <v>0</v>
      </c>
    </row>
    <row r="11" spans="1:9" ht="57.75" customHeight="1" x14ac:dyDescent="0.25">
      <c r="A11" t="s">
        <v>443</v>
      </c>
      <c r="B11" t="s">
        <v>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293</v>
      </c>
      <c r="I11" s="7" t="s">
        <v>444</v>
      </c>
    </row>
    <row r="12" spans="1:9" x14ac:dyDescent="0.25">
      <c r="A12" t="s">
        <v>0</v>
      </c>
      <c r="B12" t="s">
        <v>0</v>
      </c>
      <c r="C12" s="7" t="s">
        <v>0</v>
      </c>
      <c r="D12" s="7" t="s">
        <v>0</v>
      </c>
      <c r="E12" s="7" t="s">
        <v>0</v>
      </c>
      <c r="F12" s="7" t="s">
        <v>0</v>
      </c>
      <c r="G12" s="7" t="s">
        <v>0</v>
      </c>
      <c r="H12" s="7" t="s">
        <v>0</v>
      </c>
      <c r="I12" s="7" t="s">
        <v>0</v>
      </c>
    </row>
    <row r="13" spans="1:9" x14ac:dyDescent="0.25">
      <c r="A13" t="s">
        <v>445</v>
      </c>
      <c r="B13" t="s">
        <v>0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</row>
    <row r="14" spans="1:9" ht="26.25" customHeight="1" x14ac:dyDescent="0.25">
      <c r="A14" t="s">
        <v>446</v>
      </c>
      <c r="B14" t="s">
        <v>8</v>
      </c>
      <c r="C14" s="7" t="s">
        <v>447</v>
      </c>
      <c r="D14" s="7" t="s">
        <v>448</v>
      </c>
      <c r="E14" s="7" t="s">
        <v>449</v>
      </c>
      <c r="F14" s="7" t="s">
        <v>450</v>
      </c>
      <c r="G14" s="7" t="s">
        <v>7</v>
      </c>
      <c r="H14" s="7" t="s">
        <v>0</v>
      </c>
      <c r="I14" s="7" t="s">
        <v>0</v>
      </c>
    </row>
    <row r="15" spans="1:9" ht="21.75" customHeight="1" x14ac:dyDescent="0.25">
      <c r="A15" t="s">
        <v>451</v>
      </c>
      <c r="B15" t="s">
        <v>40</v>
      </c>
      <c r="C15" s="7" t="s">
        <v>452</v>
      </c>
      <c r="D15" s="7" t="s">
        <v>453</v>
      </c>
      <c r="E15" s="7" t="s">
        <v>454</v>
      </c>
      <c r="F15" s="7" t="s">
        <v>455</v>
      </c>
      <c r="G15" s="7" t="s">
        <v>70</v>
      </c>
      <c r="H15" s="7" t="s">
        <v>0</v>
      </c>
      <c r="I15" s="7" t="s">
        <v>0</v>
      </c>
    </row>
    <row r="16" spans="1:9" ht="24" customHeight="1" x14ac:dyDescent="0.25">
      <c r="A16" t="s">
        <v>456</v>
      </c>
      <c r="B16" t="s">
        <v>51</v>
      </c>
      <c r="C16" s="7" t="s">
        <v>457</v>
      </c>
      <c r="D16" s="7" t="s">
        <v>458</v>
      </c>
      <c r="E16" s="7" t="s">
        <v>459</v>
      </c>
      <c r="F16" s="7" t="s">
        <v>460</v>
      </c>
      <c r="G16" s="7" t="s">
        <v>70</v>
      </c>
      <c r="H16" s="7" t="s">
        <v>0</v>
      </c>
      <c r="I16" s="7" t="s">
        <v>0</v>
      </c>
    </row>
    <row r="17" spans="1:9" ht="20.25" customHeight="1" x14ac:dyDescent="0.25">
      <c r="A17" t="s">
        <v>461</v>
      </c>
      <c r="B17" t="s">
        <v>116</v>
      </c>
      <c r="C17" s="7" t="s">
        <v>462</v>
      </c>
      <c r="D17" s="7" t="s">
        <v>394</v>
      </c>
      <c r="E17" s="7" t="s">
        <v>463</v>
      </c>
      <c r="F17" s="7" t="s">
        <v>464</v>
      </c>
      <c r="G17" s="7" t="s">
        <v>70</v>
      </c>
      <c r="H17" s="7" t="s">
        <v>0</v>
      </c>
      <c r="I17" s="7" t="s">
        <v>0</v>
      </c>
    </row>
    <row r="18" spans="1:9" ht="21.75" customHeight="1" x14ac:dyDescent="0.25">
      <c r="A18" t="s">
        <v>465</v>
      </c>
      <c r="B18" t="s">
        <v>9</v>
      </c>
      <c r="C18" s="7" t="s">
        <v>466</v>
      </c>
      <c r="D18" s="7" t="s">
        <v>467</v>
      </c>
      <c r="E18" s="7" t="s">
        <v>468</v>
      </c>
      <c r="F18" s="7" t="s">
        <v>469</v>
      </c>
      <c r="G18" s="7" t="s">
        <v>62</v>
      </c>
      <c r="H18" s="7" t="s">
        <v>0</v>
      </c>
      <c r="I18" s="7" t="s">
        <v>0</v>
      </c>
    </row>
    <row r="19" spans="1:9" ht="36" customHeight="1" x14ac:dyDescent="0.25">
      <c r="A19" t="s">
        <v>395</v>
      </c>
      <c r="B19" t="s">
        <v>15</v>
      </c>
      <c r="C19" s="7" t="s">
        <v>470</v>
      </c>
      <c r="D19" s="7" t="s">
        <v>471</v>
      </c>
      <c r="E19" s="7" t="s">
        <v>472</v>
      </c>
      <c r="F19" s="7" t="s">
        <v>473</v>
      </c>
      <c r="G19" s="7" t="s">
        <v>62</v>
      </c>
      <c r="H19" s="7" t="s">
        <v>0</v>
      </c>
      <c r="I19" s="7" t="s">
        <v>0</v>
      </c>
    </row>
    <row r="20" spans="1:9" ht="22.5" customHeight="1" x14ac:dyDescent="0.25">
      <c r="A20" t="s">
        <v>474</v>
      </c>
      <c r="B20" t="s">
        <v>17</v>
      </c>
      <c r="C20" s="7" t="s">
        <v>475</v>
      </c>
      <c r="D20" s="7" t="s">
        <v>476</v>
      </c>
      <c r="E20" s="7" t="s">
        <v>477</v>
      </c>
      <c r="F20" s="7" t="s">
        <v>478</v>
      </c>
      <c r="G20" s="7" t="s">
        <v>62</v>
      </c>
      <c r="H20" s="7" t="s">
        <v>0</v>
      </c>
      <c r="I20" s="7" t="s">
        <v>0</v>
      </c>
    </row>
    <row r="21" spans="1:9" ht="21" customHeight="1" x14ac:dyDescent="0.25">
      <c r="A21" t="s">
        <v>479</v>
      </c>
      <c r="B21" t="s">
        <v>16</v>
      </c>
      <c r="C21" s="7" t="s">
        <v>480</v>
      </c>
      <c r="D21" s="7" t="s">
        <v>481</v>
      </c>
      <c r="E21" s="7" t="s">
        <v>482</v>
      </c>
      <c r="F21" s="7" t="s">
        <v>483</v>
      </c>
      <c r="G21" s="7" t="s">
        <v>62</v>
      </c>
      <c r="H21" s="7" t="s">
        <v>0</v>
      </c>
      <c r="I21" s="7" t="s">
        <v>0</v>
      </c>
    </row>
    <row r="22" spans="1:9" ht="20.25" customHeight="1" x14ac:dyDescent="0.25">
      <c r="A22" t="s">
        <v>484</v>
      </c>
      <c r="B22" t="s">
        <v>13</v>
      </c>
      <c r="C22" s="7" t="s">
        <v>485</v>
      </c>
      <c r="D22" s="7" t="s">
        <v>486</v>
      </c>
      <c r="E22" s="7" t="s">
        <v>487</v>
      </c>
      <c r="F22" s="7" t="s">
        <v>488</v>
      </c>
      <c r="G22" s="7" t="s">
        <v>62</v>
      </c>
      <c r="H22" s="7" t="s">
        <v>0</v>
      </c>
      <c r="I22" s="7" t="s">
        <v>0</v>
      </c>
    </row>
  </sheetData>
  <mergeCells count="1">
    <mergeCell ref="A1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1E80-FAD2-495F-9D73-010ED1A600F5}">
  <dimension ref="A1:E49"/>
  <sheetViews>
    <sheetView topLeftCell="A16" workbookViewId="0">
      <selection activeCell="A36" sqref="A36"/>
    </sheetView>
  </sheetViews>
  <sheetFormatPr defaultRowHeight="15" x14ac:dyDescent="0.25"/>
  <cols>
    <col min="1" max="1" width="50" bestFit="1" customWidth="1"/>
    <col min="2" max="2" width="53" bestFit="1" customWidth="1"/>
    <col min="3" max="3" width="31.140625" bestFit="1" customWidth="1"/>
    <col min="4" max="4" width="18" bestFit="1" customWidth="1"/>
    <col min="5" max="5" width="44" bestFit="1" customWidth="1"/>
  </cols>
  <sheetData>
    <row r="1" spans="1:5" x14ac:dyDescent="0.25">
      <c r="A1" s="99" t="s">
        <v>489</v>
      </c>
      <c r="B1" s="99"/>
      <c r="C1" s="99"/>
      <c r="D1" s="99"/>
      <c r="E1" s="99"/>
    </row>
    <row r="2" spans="1:5" x14ac:dyDescent="0.25">
      <c r="A2" s="99"/>
      <c r="B2" s="99"/>
      <c r="C2" s="99"/>
      <c r="D2" s="99"/>
      <c r="E2" s="99"/>
    </row>
    <row r="3" spans="1:5" x14ac:dyDescent="0.25">
      <c r="A3" s="9" t="s">
        <v>490</v>
      </c>
      <c r="B3" s="9" t="s">
        <v>491</v>
      </c>
      <c r="C3" s="9" t="s">
        <v>492</v>
      </c>
      <c r="D3" s="9" t="s">
        <v>493</v>
      </c>
      <c r="E3" s="9" t="s">
        <v>494</v>
      </c>
    </row>
    <row r="4" spans="1:5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</row>
    <row r="5" spans="1:5" x14ac:dyDescent="0.25">
      <c r="A5" t="s">
        <v>495</v>
      </c>
      <c r="B5" t="s">
        <v>0</v>
      </c>
      <c r="C5">
        <v>20</v>
      </c>
      <c r="D5" t="s">
        <v>0</v>
      </c>
      <c r="E5" t="s">
        <v>0</v>
      </c>
    </row>
    <row r="6" spans="1:5" x14ac:dyDescent="0.25">
      <c r="A6" t="s">
        <v>496</v>
      </c>
      <c r="B6" t="s">
        <v>497</v>
      </c>
      <c r="C6">
        <v>20</v>
      </c>
      <c r="D6" t="s">
        <v>0</v>
      </c>
      <c r="E6" t="s">
        <v>0</v>
      </c>
    </row>
    <row r="7" spans="1:5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</row>
    <row r="8" spans="1:5" x14ac:dyDescent="0.25">
      <c r="A8" t="s">
        <v>498</v>
      </c>
      <c r="B8" t="s">
        <v>0</v>
      </c>
      <c r="C8">
        <v>15</v>
      </c>
      <c r="D8" t="s">
        <v>0</v>
      </c>
      <c r="E8" t="s">
        <v>0</v>
      </c>
    </row>
    <row r="9" spans="1:5" x14ac:dyDescent="0.25">
      <c r="A9" t="s">
        <v>499</v>
      </c>
      <c r="B9" t="s">
        <v>500</v>
      </c>
      <c r="C9">
        <v>15</v>
      </c>
      <c r="D9" t="s">
        <v>0</v>
      </c>
      <c r="E9" t="s">
        <v>0</v>
      </c>
    </row>
    <row r="10" spans="1:5" x14ac:dyDescent="0.25">
      <c r="A10" t="s">
        <v>501</v>
      </c>
      <c r="B10" t="s">
        <v>502</v>
      </c>
      <c r="C10">
        <v>15</v>
      </c>
      <c r="D10" t="s">
        <v>0</v>
      </c>
      <c r="E10" t="s">
        <v>0</v>
      </c>
    </row>
    <row r="11" spans="1:5" x14ac:dyDescent="0.25">
      <c r="A11" t="s">
        <v>0</v>
      </c>
      <c r="B11" t="s">
        <v>0</v>
      </c>
      <c r="C11" t="s">
        <v>0</v>
      </c>
      <c r="D11" t="s">
        <v>0</v>
      </c>
      <c r="E11" t="s">
        <v>0</v>
      </c>
    </row>
    <row r="12" spans="1:5" x14ac:dyDescent="0.25">
      <c r="A12" t="s">
        <v>503</v>
      </c>
      <c r="B12" t="s">
        <v>0</v>
      </c>
      <c r="C12">
        <v>20</v>
      </c>
      <c r="D12" t="s">
        <v>0</v>
      </c>
      <c r="E12" t="s">
        <v>0</v>
      </c>
    </row>
    <row r="13" spans="1:5" x14ac:dyDescent="0.25">
      <c r="A13" t="s">
        <v>504</v>
      </c>
      <c r="B13" t="s">
        <v>505</v>
      </c>
      <c r="C13">
        <v>20</v>
      </c>
      <c r="D13" t="s">
        <v>0</v>
      </c>
      <c r="E13" t="s">
        <v>0</v>
      </c>
    </row>
    <row r="14" spans="1:5" x14ac:dyDescent="0.25">
      <c r="A14" t="s">
        <v>506</v>
      </c>
      <c r="B14" t="s">
        <v>507</v>
      </c>
      <c r="C14">
        <v>15</v>
      </c>
      <c r="D14" t="s">
        <v>0</v>
      </c>
      <c r="E14" t="s">
        <v>0</v>
      </c>
    </row>
    <row r="15" spans="1:5" x14ac:dyDescent="0.25">
      <c r="A15" t="s">
        <v>508</v>
      </c>
      <c r="B15" t="s">
        <v>509</v>
      </c>
      <c r="C15">
        <v>10</v>
      </c>
      <c r="D15" t="s">
        <v>0</v>
      </c>
      <c r="E15" t="s">
        <v>0</v>
      </c>
    </row>
    <row r="16" spans="1:5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</row>
    <row r="17" spans="1:5" x14ac:dyDescent="0.25">
      <c r="A17" t="s">
        <v>510</v>
      </c>
      <c r="B17" t="s">
        <v>0</v>
      </c>
      <c r="C17">
        <v>25</v>
      </c>
      <c r="D17" t="s">
        <v>0</v>
      </c>
      <c r="E17" t="s">
        <v>0</v>
      </c>
    </row>
    <row r="18" spans="1:5" x14ac:dyDescent="0.25">
      <c r="A18" t="s">
        <v>511</v>
      </c>
      <c r="B18" t="s">
        <v>512</v>
      </c>
      <c r="C18">
        <v>15</v>
      </c>
      <c r="D18" t="s">
        <v>0</v>
      </c>
      <c r="E18" t="s">
        <v>0</v>
      </c>
    </row>
    <row r="19" spans="1:5" x14ac:dyDescent="0.25">
      <c r="A19" t="s">
        <v>513</v>
      </c>
      <c r="B19" t="s">
        <v>514</v>
      </c>
      <c r="C19">
        <v>20</v>
      </c>
      <c r="D19" t="s">
        <v>0</v>
      </c>
      <c r="E19" t="s">
        <v>0</v>
      </c>
    </row>
    <row r="20" spans="1:5" x14ac:dyDescent="0.25">
      <c r="A20" t="s">
        <v>515</v>
      </c>
      <c r="B20" t="s">
        <v>500</v>
      </c>
      <c r="C20">
        <v>15</v>
      </c>
      <c r="D20" t="s">
        <v>0</v>
      </c>
      <c r="E20" t="s">
        <v>0</v>
      </c>
    </row>
    <row r="21" spans="1:5" x14ac:dyDescent="0.25">
      <c r="A21" t="s">
        <v>0</v>
      </c>
      <c r="B21" t="s">
        <v>0</v>
      </c>
      <c r="C21" t="s">
        <v>0</v>
      </c>
      <c r="D21" t="s">
        <v>0</v>
      </c>
      <c r="E21" t="s">
        <v>0</v>
      </c>
    </row>
    <row r="22" spans="1:5" x14ac:dyDescent="0.25">
      <c r="A22" t="s">
        <v>516</v>
      </c>
      <c r="B22" t="s">
        <v>0</v>
      </c>
      <c r="C22">
        <v>15</v>
      </c>
      <c r="D22" t="s">
        <v>0</v>
      </c>
      <c r="E22" t="s">
        <v>0</v>
      </c>
    </row>
    <row r="23" spans="1:5" x14ac:dyDescent="0.25">
      <c r="A23" t="s">
        <v>517</v>
      </c>
      <c r="B23" t="s">
        <v>518</v>
      </c>
      <c r="C23">
        <v>10</v>
      </c>
      <c r="D23" t="s">
        <v>0</v>
      </c>
      <c r="E23" t="s">
        <v>0</v>
      </c>
    </row>
    <row r="24" spans="1:5" x14ac:dyDescent="0.25">
      <c r="A24" t="s">
        <v>519</v>
      </c>
      <c r="B24" t="s">
        <v>520</v>
      </c>
      <c r="C24">
        <v>15</v>
      </c>
      <c r="D24" t="s">
        <v>0</v>
      </c>
      <c r="E24" t="s">
        <v>0</v>
      </c>
    </row>
    <row r="25" spans="1:5" x14ac:dyDescent="0.25">
      <c r="A25" t="s">
        <v>521</v>
      </c>
      <c r="B25" t="s">
        <v>522</v>
      </c>
      <c r="C25">
        <v>10</v>
      </c>
      <c r="D25" t="s">
        <v>0</v>
      </c>
      <c r="E25" t="s">
        <v>0</v>
      </c>
    </row>
    <row r="26" spans="1:5" x14ac:dyDescent="0.25">
      <c r="A26" t="s">
        <v>0</v>
      </c>
      <c r="B26" t="s">
        <v>0</v>
      </c>
      <c r="C26" t="s">
        <v>0</v>
      </c>
      <c r="D26" t="s">
        <v>0</v>
      </c>
      <c r="E26" t="s">
        <v>0</v>
      </c>
    </row>
    <row r="27" spans="1:5" x14ac:dyDescent="0.25">
      <c r="A27" t="s">
        <v>523</v>
      </c>
      <c r="B27" t="s">
        <v>0</v>
      </c>
      <c r="C27">
        <v>20</v>
      </c>
      <c r="D27" t="s">
        <v>0</v>
      </c>
      <c r="E27" t="s">
        <v>0</v>
      </c>
    </row>
    <row r="28" spans="1:5" x14ac:dyDescent="0.25">
      <c r="A28" t="s">
        <v>524</v>
      </c>
      <c r="B28" t="s">
        <v>525</v>
      </c>
      <c r="C28">
        <v>15</v>
      </c>
      <c r="D28" t="s">
        <v>0</v>
      </c>
      <c r="E28" t="s">
        <v>0</v>
      </c>
    </row>
    <row r="29" spans="1:5" x14ac:dyDescent="0.25">
      <c r="A29" t="s">
        <v>526</v>
      </c>
      <c r="B29" t="s">
        <v>527</v>
      </c>
      <c r="C29">
        <v>15</v>
      </c>
      <c r="D29" t="s">
        <v>0</v>
      </c>
      <c r="E29" t="s">
        <v>0</v>
      </c>
    </row>
    <row r="30" spans="1:5" x14ac:dyDescent="0.25">
      <c r="A30" t="s">
        <v>528</v>
      </c>
      <c r="B30" t="s">
        <v>529</v>
      </c>
      <c r="C30">
        <v>10</v>
      </c>
      <c r="D30" t="s">
        <v>0</v>
      </c>
      <c r="E30" t="s">
        <v>0</v>
      </c>
    </row>
    <row r="31" spans="1:5" x14ac:dyDescent="0.25">
      <c r="A31" t="s">
        <v>0</v>
      </c>
      <c r="B31" t="s">
        <v>0</v>
      </c>
      <c r="C31" t="s">
        <v>0</v>
      </c>
      <c r="D31" t="s">
        <v>0</v>
      </c>
      <c r="E31" t="s">
        <v>0</v>
      </c>
    </row>
    <row r="32" spans="1:5" x14ac:dyDescent="0.25">
      <c r="A32" t="s">
        <v>530</v>
      </c>
      <c r="B32" t="s">
        <v>0</v>
      </c>
      <c r="C32">
        <v>10</v>
      </c>
      <c r="D32" t="s">
        <v>0</v>
      </c>
      <c r="E32" t="s">
        <v>0</v>
      </c>
    </row>
    <row r="33" spans="1:5" x14ac:dyDescent="0.25">
      <c r="A33" t="s">
        <v>531</v>
      </c>
      <c r="B33" t="s">
        <v>532</v>
      </c>
      <c r="C33">
        <v>10</v>
      </c>
      <c r="D33" t="s">
        <v>0</v>
      </c>
      <c r="E33" t="s">
        <v>0</v>
      </c>
    </row>
    <row r="34" spans="1:5" x14ac:dyDescent="0.25">
      <c r="A34" t="s">
        <v>533</v>
      </c>
      <c r="B34" t="s">
        <v>534</v>
      </c>
      <c r="C34">
        <v>10</v>
      </c>
      <c r="D34" t="s">
        <v>0</v>
      </c>
      <c r="E34" t="s">
        <v>0</v>
      </c>
    </row>
    <row r="35" spans="1:5" x14ac:dyDescent="0.25">
      <c r="A35" t="s">
        <v>0</v>
      </c>
      <c r="B35" t="s">
        <v>0</v>
      </c>
      <c r="C35" t="s">
        <v>0</v>
      </c>
      <c r="D35" t="s">
        <v>0</v>
      </c>
      <c r="E35" t="s">
        <v>0</v>
      </c>
    </row>
    <row r="36" spans="1:5" x14ac:dyDescent="0.25">
      <c r="A36" t="s">
        <v>535</v>
      </c>
      <c r="B36" t="s">
        <v>0</v>
      </c>
      <c r="C36">
        <v>100</v>
      </c>
      <c r="D36" t="s">
        <v>0</v>
      </c>
      <c r="E36" t="s">
        <v>536</v>
      </c>
    </row>
    <row r="37" spans="1:5" x14ac:dyDescent="0.25">
      <c r="A37" t="s">
        <v>0</v>
      </c>
      <c r="B37" t="s">
        <v>0</v>
      </c>
      <c r="C37" t="s">
        <v>0</v>
      </c>
      <c r="D37" t="s">
        <v>0</v>
      </c>
      <c r="E37" t="s">
        <v>0</v>
      </c>
    </row>
    <row r="38" spans="1:5" x14ac:dyDescent="0.25">
      <c r="A38" t="s">
        <v>537</v>
      </c>
      <c r="B38" t="s">
        <v>0</v>
      </c>
      <c r="C38" t="s">
        <v>0</v>
      </c>
      <c r="D38" t="s">
        <v>0</v>
      </c>
      <c r="E38" t="s">
        <v>0</v>
      </c>
    </row>
    <row r="39" spans="1:5" x14ac:dyDescent="0.25">
      <c r="A39" t="s">
        <v>538</v>
      </c>
      <c r="B39" t="s">
        <v>539</v>
      </c>
      <c r="C39" t="s">
        <v>0</v>
      </c>
      <c r="D39" t="s">
        <v>0</v>
      </c>
      <c r="E39" t="s">
        <v>540</v>
      </c>
    </row>
    <row r="40" spans="1:5" x14ac:dyDescent="0.25">
      <c r="A40" t="s">
        <v>541</v>
      </c>
      <c r="B40" t="s">
        <v>542</v>
      </c>
      <c r="C40" t="s">
        <v>0</v>
      </c>
      <c r="D40" t="s">
        <v>0</v>
      </c>
      <c r="E40" t="s">
        <v>543</v>
      </c>
    </row>
    <row r="41" spans="1:5" x14ac:dyDescent="0.25">
      <c r="A41" t="s">
        <v>544</v>
      </c>
      <c r="B41" t="s">
        <v>545</v>
      </c>
      <c r="C41" t="s">
        <v>0</v>
      </c>
      <c r="D41" t="s">
        <v>0</v>
      </c>
      <c r="E41" t="s">
        <v>546</v>
      </c>
    </row>
    <row r="42" spans="1:5" x14ac:dyDescent="0.25">
      <c r="A42" t="s">
        <v>547</v>
      </c>
      <c r="B42" t="s">
        <v>548</v>
      </c>
      <c r="C42" t="s">
        <v>0</v>
      </c>
      <c r="D42" t="s">
        <v>0</v>
      </c>
      <c r="E42" t="s">
        <v>549</v>
      </c>
    </row>
    <row r="43" spans="1:5" x14ac:dyDescent="0.25">
      <c r="A43" t="s">
        <v>0</v>
      </c>
      <c r="B43" t="s">
        <v>0</v>
      </c>
      <c r="C43" t="s">
        <v>0</v>
      </c>
      <c r="D43" t="s">
        <v>0</v>
      </c>
      <c r="E43" t="s">
        <v>0</v>
      </c>
    </row>
    <row r="44" spans="1:5" x14ac:dyDescent="0.25">
      <c r="A44" t="s">
        <v>550</v>
      </c>
      <c r="B44" t="s">
        <v>0</v>
      </c>
      <c r="C44" t="s">
        <v>0</v>
      </c>
      <c r="D44" t="s">
        <v>0</v>
      </c>
      <c r="E44" t="s">
        <v>0</v>
      </c>
    </row>
    <row r="45" spans="1:5" x14ac:dyDescent="0.25">
      <c r="A45" t="s">
        <v>551</v>
      </c>
      <c r="B45" t="s">
        <v>552</v>
      </c>
      <c r="C45" t="s">
        <v>553</v>
      </c>
      <c r="D45" t="s">
        <v>554</v>
      </c>
    </row>
    <row r="46" spans="1:5" x14ac:dyDescent="0.25">
      <c r="A46" t="s">
        <v>538</v>
      </c>
      <c r="B46" t="s">
        <v>555</v>
      </c>
      <c r="C46" t="s">
        <v>556</v>
      </c>
      <c r="D46" t="s">
        <v>557</v>
      </c>
    </row>
    <row r="47" spans="1:5" x14ac:dyDescent="0.25">
      <c r="A47" t="s">
        <v>541</v>
      </c>
      <c r="B47" t="s">
        <v>558</v>
      </c>
      <c r="C47" t="s">
        <v>559</v>
      </c>
      <c r="D47" t="s">
        <v>560</v>
      </c>
    </row>
    <row r="48" spans="1:5" x14ac:dyDescent="0.25">
      <c r="A48" t="s">
        <v>544</v>
      </c>
      <c r="B48" t="s">
        <v>561</v>
      </c>
      <c r="C48" t="s">
        <v>562</v>
      </c>
      <c r="D48" t="s">
        <v>563</v>
      </c>
    </row>
    <row r="49" spans="1:4" x14ac:dyDescent="0.25">
      <c r="A49" t="s">
        <v>547</v>
      </c>
      <c r="B49" t="s">
        <v>564</v>
      </c>
      <c r="C49" t="s">
        <v>565</v>
      </c>
      <c r="D49" t="s">
        <v>566</v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 Gen-Ai Assessment </vt:lpstr>
      <vt:lpstr>GenAI ROI Calculation Framework</vt:lpstr>
      <vt:lpstr>Partnership Negotiation Guide</vt:lpstr>
      <vt:lpstr>GenAI Ethical Decision</vt:lpstr>
      <vt:lpstr>Change Management Toolkit</vt:lpstr>
      <vt:lpstr>People Assessment</vt:lpstr>
      <vt:lpstr>Process Assessment</vt:lpstr>
      <vt:lpstr>Technology Assessment</vt:lpstr>
      <vt:lpstr>Responsible AI</vt:lpstr>
      <vt:lpstr>Use Case Analysis</vt:lpstr>
      <vt:lpstr>Revenue vs Cost</vt:lpstr>
      <vt:lpstr>Implementation Roadmap</vt:lpstr>
      <vt:lpstr>Decision Tree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 Adoption Framework - Enhanced (Big 5 Consultant Grade)</dc:title>
  <dc:creator>AI Framework Architect</dc:creator>
  <cp:lastModifiedBy>Milind Naik</cp:lastModifiedBy>
  <dcterms:created xsi:type="dcterms:W3CDTF">2026-01-13T13:41:49Z</dcterms:created>
  <dcterms:modified xsi:type="dcterms:W3CDTF">2026-08-16T04:42:47Z</dcterms:modified>
</cp:coreProperties>
</file>